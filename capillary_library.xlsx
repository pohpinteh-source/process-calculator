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osram.sharepoint.com/teams/BATWireBonding/Shared Documents/Meeting Agenda, MoM/"/>
    </mc:Choice>
  </mc:AlternateContent>
  <xr:revisionPtr revIDLastSave="939" documentId="13_ncr:1_{5D10CDAC-3D4E-4658-93F1-F58E7381A686}" xr6:coauthVersionLast="47" xr6:coauthVersionMax="47" xr10:uidLastSave="{C02A83C3-9317-4AB1-967A-7D6A3452850D}"/>
  <bookViews>
    <workbookView minimized="1" xWindow="340" yWindow="3250" windowWidth="9600" windowHeight="5450" firstSheet="2" activeTab="12" xr2:uid="{8B9AC8D9-AF93-412C-915B-0D4DDB805987}"/>
  </bookViews>
  <sheets>
    <sheet name="Cap DR" sheetId="9" r:id="rId1"/>
    <sheet name="18um" sheetId="7" r:id="rId2"/>
    <sheet name="25um" sheetId="4" r:id="rId3"/>
    <sheet name="30um" sheetId="3" r:id="rId4"/>
    <sheet name="38um" sheetId="5" r:id="rId5"/>
    <sheet name="44um" sheetId="11" r:id="rId6"/>
    <sheet name="50um" sheetId="6" r:id="rId7"/>
    <sheet name="active list" sheetId="12" r:id="rId8"/>
    <sheet name="master" sheetId="2" r:id="rId9"/>
    <sheet name="MFPEN list" sheetId="8" r:id="rId10"/>
    <sheet name="long life" sheetId="13" r:id="rId11"/>
    <sheet name="BPO and Ball shear Spec limit" sheetId="10" r:id="rId12"/>
    <sheet name="Wire_Cap Colour code" sheetId="14" r:id="rId13"/>
  </sheets>
  <definedNames>
    <definedName name="_xlnm._FilterDatabase" localSheetId="1" hidden="1">'18um'!$A$1:$V$1</definedName>
    <definedName name="_xlnm._FilterDatabase" localSheetId="2" hidden="1">'25um'!$A$1:$V$13</definedName>
    <definedName name="_xlnm._FilterDatabase" localSheetId="3" hidden="1">'30um'!$A$1:$V$1</definedName>
    <definedName name="_xlnm._FilterDatabase" localSheetId="4" hidden="1">'38um'!$A$1:$V$8</definedName>
    <definedName name="_xlnm._FilterDatabase" localSheetId="6" hidden="1">'50um'!$A$1:$V$1</definedName>
    <definedName name="_xlnm._FilterDatabase" localSheetId="7" hidden="1">'active list'!$B$1:$E$44</definedName>
    <definedName name="_xlnm._FilterDatabase" localSheetId="8" hidden="1">master!$A$1:$S$1</definedName>
    <definedName name="_xlnm._FilterDatabase" localSheetId="9" hidden="1">'MFPEN list'!$A$1:$U$1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1" i="3" l="1"/>
  <c r="M23" i="3"/>
  <c r="K23" i="3"/>
  <c r="I23" i="3"/>
  <c r="I22" i="3"/>
  <c r="I8" i="3"/>
  <c r="M22" i="3"/>
  <c r="K22" i="3"/>
  <c r="I2" i="11"/>
  <c r="M16" i="3"/>
  <c r="M15" i="3"/>
  <c r="M14" i="3"/>
  <c r="M13" i="3"/>
  <c r="M6" i="3"/>
  <c r="M11" i="4"/>
  <c r="M10" i="4"/>
  <c r="M9" i="4"/>
  <c r="M14" i="4"/>
  <c r="K14" i="4"/>
  <c r="I14" i="4"/>
  <c r="I6" i="3"/>
  <c r="M11" i="6"/>
  <c r="K11" i="6"/>
  <c r="I11" i="6"/>
  <c r="M2" i="11"/>
  <c r="K2" i="11"/>
  <c r="M12" i="5"/>
  <c r="K12" i="5"/>
  <c r="I12" i="5"/>
  <c r="K6" i="3"/>
  <c r="I5" i="3"/>
  <c r="K5" i="3"/>
  <c r="M5" i="3"/>
  <c r="M20" i="3"/>
  <c r="K20" i="3"/>
  <c r="I20" i="3"/>
  <c r="M4" i="3"/>
  <c r="K12" i="3"/>
  <c r="M7" i="6"/>
  <c r="M6" i="6"/>
  <c r="M5" i="6"/>
  <c r="M4" i="6"/>
  <c r="M3" i="6"/>
  <c r="M2" i="6"/>
  <c r="K4" i="6"/>
  <c r="K7" i="6"/>
  <c r="K6" i="6"/>
  <c r="K5" i="6"/>
  <c r="K3" i="6"/>
  <c r="K2" i="6"/>
  <c r="I7" i="6"/>
  <c r="I6" i="6"/>
  <c r="I5" i="6"/>
  <c r="I4" i="6"/>
  <c r="I3" i="6"/>
  <c r="I2" i="6"/>
  <c r="M8" i="5"/>
  <c r="M7" i="5"/>
  <c r="M6" i="5"/>
  <c r="M5" i="5"/>
  <c r="M4" i="5"/>
  <c r="M2" i="5"/>
  <c r="M3" i="5"/>
  <c r="K8" i="5"/>
  <c r="K5" i="5"/>
  <c r="K7" i="5"/>
  <c r="K6" i="5"/>
  <c r="K4" i="5"/>
  <c r="K3" i="5"/>
  <c r="K2" i="5"/>
  <c r="I8" i="5"/>
  <c r="I7" i="5"/>
  <c r="I6" i="5"/>
  <c r="I5" i="5"/>
  <c r="I4" i="5"/>
  <c r="I3" i="5"/>
  <c r="I2" i="5"/>
  <c r="M12" i="3"/>
  <c r="M11" i="3"/>
  <c r="M10" i="3"/>
  <c r="M9" i="3"/>
  <c r="M8" i="3"/>
  <c r="M7" i="3"/>
  <c r="M3" i="3"/>
  <c r="M2" i="3"/>
  <c r="K15" i="3"/>
  <c r="K14" i="3"/>
  <c r="K13" i="3"/>
  <c r="K11" i="3"/>
  <c r="K10" i="3"/>
  <c r="K9" i="3"/>
  <c r="K7" i="3"/>
  <c r="K3" i="3"/>
  <c r="K8" i="3"/>
  <c r="K4" i="3"/>
  <c r="K2" i="3"/>
  <c r="I15" i="3"/>
  <c r="I13" i="3"/>
  <c r="I14" i="3"/>
  <c r="I11" i="3"/>
  <c r="I12" i="3"/>
  <c r="I9" i="3"/>
  <c r="I4" i="3"/>
  <c r="I10" i="3"/>
  <c r="I7" i="3"/>
  <c r="I3" i="3"/>
  <c r="I2" i="3"/>
  <c r="M13" i="4"/>
  <c r="M12" i="4"/>
  <c r="M8" i="4"/>
  <c r="M7" i="4"/>
  <c r="M6" i="4"/>
  <c r="M5" i="4"/>
  <c r="M4" i="4"/>
  <c r="M3" i="4"/>
  <c r="M2" i="4"/>
  <c r="K13" i="4"/>
  <c r="K12" i="4"/>
  <c r="K11" i="4"/>
  <c r="K10" i="4"/>
  <c r="K9" i="4"/>
  <c r="K8" i="4"/>
  <c r="K7" i="4"/>
  <c r="K6" i="4"/>
  <c r="K5" i="4"/>
  <c r="K4" i="4"/>
  <c r="K3" i="4"/>
  <c r="K2" i="4"/>
  <c r="I13" i="4"/>
  <c r="I12" i="4"/>
  <c r="I11" i="4"/>
  <c r="I10" i="4"/>
  <c r="I9" i="4"/>
  <c r="I8" i="4"/>
  <c r="I7" i="4"/>
  <c r="I6" i="4"/>
  <c r="I5" i="4"/>
  <c r="I4" i="4"/>
  <c r="I3" i="4"/>
  <c r="I2" i="4"/>
  <c r="M4" i="7"/>
  <c r="M3" i="7"/>
  <c r="M2" i="7"/>
  <c r="K4" i="7"/>
  <c r="K3" i="7"/>
  <c r="K2" i="7"/>
  <c r="I3" i="7"/>
  <c r="I4" i="7"/>
  <c r="I2" i="7"/>
  <c r="K5" i="9"/>
  <c r="I5" i="9"/>
  <c r="G5" i="9"/>
  <c r="G6" i="9"/>
  <c r="G4" i="9"/>
  <c r="S7" i="9" l="1"/>
  <c r="S4" i="9"/>
  <c r="K4" i="9"/>
  <c r="Q7" i="9"/>
  <c r="Q4" i="9"/>
  <c r="O7" i="9"/>
  <c r="O4" i="9"/>
  <c r="K11" i="9"/>
  <c r="K7" i="9"/>
  <c r="K6" i="9"/>
  <c r="I11" i="9"/>
  <c r="I7" i="9"/>
  <c r="I6" i="9"/>
  <c r="I4" i="9"/>
  <c r="G11" i="9"/>
  <c r="G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Wei Chin Khaw</author>
  </authors>
  <commentList>
    <comment ref="G2" authorId="0" shapeId="0" xr:uid="{25BDA468-3433-4341-89B7-DCAFCA8BFC64}">
      <text>
        <r>
          <rPr>
            <b/>
            <sz val="9"/>
            <color indexed="81"/>
            <rFont val="Tahoma"/>
            <family val="2"/>
          </rPr>
          <t>1.2-1.5</t>
        </r>
      </text>
    </comment>
    <comment ref="O2" authorId="0" shapeId="0" xr:uid="{0FAC5DE0-ED98-4FFB-B173-867646AC5839}">
      <text>
        <r>
          <rPr>
            <b/>
            <sz val="9"/>
            <color indexed="81"/>
            <rFont val="Tahoma"/>
            <family val="2"/>
          </rPr>
          <t>1.2-1.5</t>
        </r>
      </text>
    </comment>
    <comment ref="L5" authorId="0" shapeId="0" xr:uid="{95CF347C-34D3-4EE6-B843-F69CC803DF45}">
      <text>
        <r>
          <rPr>
            <sz val="11"/>
            <color theme="1"/>
            <rFont val="Calibri"/>
            <family val="2"/>
            <scheme val="minor"/>
          </rPr>
          <t xml:space="preserve">smaller CD can be useful &lt;85um BPO, but may have limitation for bigger ball bonding to achieve good ball shear (eg. especially lead ball)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Wei Chin Khaw</author>
    <author>27382</author>
  </authors>
  <commentList>
    <comment ref="I1" authorId="0" shapeId="0" xr:uid="{837E73E1-74AA-4339-B3E7-72748F66F98A}">
      <text>
        <r>
          <rPr>
            <b/>
            <sz val="9"/>
            <color indexed="81"/>
            <rFont val="Tahoma"/>
            <family val="2"/>
          </rPr>
          <t>1.2-1.5</t>
        </r>
      </text>
    </comment>
    <comment ref="D2" authorId="1" shapeId="0" xr:uid="{3B559B4D-206C-4C22-B280-02E5F3089A01}">
      <text>
        <r>
          <rPr>
            <b/>
            <sz val="9"/>
            <color indexed="81"/>
            <rFont val="Tahoma"/>
            <family val="2"/>
          </rPr>
          <t>27382:</t>
        </r>
        <r>
          <rPr>
            <sz val="9"/>
            <color indexed="81"/>
            <rFont val="Tahoma"/>
            <family val="2"/>
          </rPr>
          <t xml:space="preserve">
Balance 20pcs for ENG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Wei Chin Khaw</author>
    <author>19973</author>
  </authors>
  <commentList>
    <comment ref="I1" authorId="0" shapeId="0" xr:uid="{CC4E0C2E-9F43-4517-BDD0-FB4E361C3097}">
      <text>
        <r>
          <rPr>
            <b/>
            <sz val="9"/>
            <color indexed="81"/>
            <rFont val="Tahoma"/>
            <family val="2"/>
          </rPr>
          <t>1.2-1.5</t>
        </r>
      </text>
    </comment>
    <comment ref="H3" authorId="0" shapeId="0" xr:uid="{CDB5127D-9F66-4475-8577-A8DF9303CFC8}">
      <text>
        <r>
          <rPr>
            <sz val="11"/>
            <color theme="1"/>
            <rFont val="Calibri"/>
            <family val="2"/>
            <scheme val="minor"/>
          </rPr>
          <t>not common hole ratio, high side</t>
        </r>
      </text>
    </comment>
    <comment ref="L3" authorId="0" shapeId="0" xr:uid="{F6C3B865-BD92-4376-B1DB-18BB6C7F2B0E}">
      <text>
        <r>
          <rPr>
            <sz val="11"/>
            <color theme="1"/>
            <rFont val="Calibri"/>
            <family val="2"/>
            <scheme val="minor"/>
          </rPr>
          <t>high ratio, not fit for small BPO</t>
        </r>
      </text>
    </comment>
    <comment ref="P4" authorId="0" shapeId="0" xr:uid="{8A4E0CA8-3888-425C-B73F-D9D8A2352109}">
      <text>
        <r>
          <rPr>
            <sz val="11"/>
            <color theme="1"/>
            <rFont val="Calibri"/>
            <family val="2"/>
            <scheme val="minor"/>
          </rPr>
          <t xml:space="preserve">not for narrow package
</t>
        </r>
      </text>
    </comment>
    <comment ref="L6" authorId="0" shapeId="0" xr:uid="{5A527270-2607-4CA5-8940-8E12E4CA3B76}">
      <text>
        <r>
          <rPr>
            <sz val="11"/>
            <color theme="1"/>
            <rFont val="Calibri"/>
            <family val="2"/>
            <scheme val="minor"/>
          </rPr>
          <t xml:space="preserve">best fit size for ball size
</t>
        </r>
      </text>
    </comment>
    <comment ref="C7" authorId="1" shapeId="0" xr:uid="{99BECDA0-72E4-4682-B3C4-D885F6102740}">
      <text>
        <r>
          <rPr>
            <b/>
            <sz val="9"/>
            <color indexed="81"/>
            <rFont val="Tahoma"/>
            <family val="2"/>
          </rPr>
          <t>19973:</t>
        </r>
        <r>
          <rPr>
            <sz val="9"/>
            <color indexed="81"/>
            <rFont val="Tahoma"/>
            <family val="2"/>
          </rPr>
          <t xml:space="preserve">
design benchmark double yellow cap</t>
        </r>
      </text>
    </comment>
    <comment ref="F7" authorId="0" shapeId="0" xr:uid="{CE00A65C-C8C4-48D3-BFA3-3161A6499DB1}">
      <text>
        <r>
          <rPr>
            <sz val="11"/>
            <color theme="1"/>
            <rFont val="Calibri"/>
            <family val="2"/>
            <scheme val="minor"/>
          </rPr>
          <t xml:space="preserve">similar to double yellow but bottleneck design -&gt; bottleneck cap with a smaller profile is selected
</t>
        </r>
      </text>
    </comment>
    <comment ref="J10" authorId="0" shapeId="0" xr:uid="{6C819CDF-DFB1-4943-9CC0-A0E87D142CAC}">
      <text>
        <r>
          <rPr>
            <sz val="11"/>
            <color theme="1"/>
            <rFont val="Calibri"/>
            <family val="2"/>
            <scheme val="minor"/>
          </rPr>
          <t>small ratio not best fit for stitch/ bsob</t>
        </r>
      </text>
    </comment>
    <comment ref="L10" authorId="0" shapeId="0" xr:uid="{0B2A3559-FC76-4DB9-B8BD-426335E3128E}">
      <text>
        <r>
          <rPr>
            <sz val="11"/>
            <color theme="1"/>
            <rFont val="Calibri"/>
            <family val="2"/>
            <scheme val="minor"/>
          </rPr>
          <t xml:space="preserve">not best fit for BPO, limitation on ball shear window
</t>
        </r>
      </text>
    </comment>
    <comment ref="L14" authorId="0" shapeId="0" xr:uid="{9BB455F2-276C-4BA4-9957-C477C0DD8B5E}">
      <text>
        <r>
          <rPr>
            <sz val="11"/>
            <color theme="1"/>
            <rFont val="Calibri"/>
            <family val="2"/>
            <scheme val="minor"/>
          </rPr>
          <t xml:space="preserve">for smaller BPO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Wei Chin Khaw</author>
    <author>27382</author>
  </authors>
  <commentList>
    <comment ref="I1" authorId="0" shapeId="0" xr:uid="{702FD957-2C0C-439B-A3ED-5832E1E082B5}">
      <text>
        <r>
          <rPr>
            <b/>
            <sz val="9"/>
            <color indexed="81"/>
            <rFont val="Tahoma"/>
            <family val="2"/>
          </rPr>
          <t>1.2-1.5</t>
        </r>
      </text>
    </comment>
    <comment ref="Q1" authorId="0" shapeId="0" xr:uid="{60B9DB63-C212-4F60-A52B-D46606566A19}">
      <text>
        <r>
          <rPr>
            <b/>
            <sz val="9"/>
            <color indexed="81"/>
            <rFont val="Tahoma"/>
            <family val="2"/>
          </rPr>
          <t>bigger OR complement FA for smaller Tip for Stitch length</t>
        </r>
      </text>
    </comment>
    <comment ref="O4" authorId="0" shapeId="0" xr:uid="{C5883637-D30B-4C20-B008-FAC7C07D489D}">
      <text>
        <r>
          <rPr>
            <sz val="11"/>
            <color theme="1"/>
            <rFont val="Calibri"/>
            <family val="2"/>
            <scheme val="minor"/>
          </rPr>
          <t xml:space="preserve">Wei Chin Khaw:
</t>
        </r>
      </text>
    </comment>
    <comment ref="O5" authorId="0" shapeId="0" xr:uid="{DA0ED030-91AE-4044-A188-481A7C690F5E}">
      <text>
        <r>
          <rPr>
            <sz val="11"/>
            <color theme="1"/>
            <rFont val="Calibri"/>
            <family val="2"/>
            <scheme val="minor"/>
          </rPr>
          <t xml:space="preserve">risk of thinner stitch heel in reliability stress, eg. bsob. suitable mainly for security bond where stitch is directly on the lead
</t>
        </r>
      </text>
    </comment>
    <comment ref="L8" authorId="0" shapeId="0" xr:uid="{665943A8-66A4-4DE9-BD2B-D048F5B5D0DC}">
      <text>
        <r>
          <rPr>
            <sz val="11"/>
            <color theme="1"/>
            <rFont val="Calibri"/>
            <family val="2"/>
            <scheme val="minor"/>
          </rPr>
          <t xml:space="preserve">smaller CD can be useful &lt;85um BPO, but may have limitation for bigger ball bonding to achieve good ball shear (eg. especially lead ball)
</t>
        </r>
      </text>
    </comment>
    <comment ref="P8" authorId="0" shapeId="0" xr:uid="{154BFEC1-FCB9-4155-9279-104B7021A9FC}">
      <text>
        <r>
          <rPr>
            <sz val="11"/>
            <color theme="1"/>
            <rFont val="Calibri"/>
            <family val="2"/>
            <scheme val="minor"/>
          </rPr>
          <t xml:space="preserve">not suitable for narrow package
</t>
        </r>
      </text>
    </comment>
    <comment ref="D9" authorId="1" shapeId="0" xr:uid="{7E52AAD8-C27D-4B4D-AB06-763C71442E49}">
      <text>
        <r>
          <rPr>
            <b/>
            <sz val="9"/>
            <color indexed="81"/>
            <rFont val="Tahoma"/>
            <family val="2"/>
          </rPr>
          <t>27382:</t>
        </r>
        <r>
          <rPr>
            <sz val="9"/>
            <color indexed="81"/>
            <rFont val="Tahoma"/>
            <family val="2"/>
          </rPr>
          <t xml:space="preserve">
Balance 20pcs for ENG</t>
        </r>
      </text>
    </comment>
    <comment ref="F9" authorId="1" shapeId="0" xr:uid="{16F0DA20-2363-4F3A-8FBD-4FBE388BA39E}">
      <text>
        <r>
          <rPr>
            <b/>
            <sz val="9"/>
            <color indexed="81"/>
            <rFont val="Tahoma"/>
            <family val="2"/>
          </rPr>
          <t>27382:</t>
        </r>
        <r>
          <rPr>
            <sz val="9"/>
            <color indexed="81"/>
            <rFont val="Tahoma"/>
            <family val="2"/>
          </rPr>
          <t xml:space="preserve">
Propose change to double black.
Original Pink ring</t>
        </r>
      </text>
    </comment>
    <comment ref="J9" authorId="0" shapeId="0" xr:uid="{4BF30E81-3AC0-4FB6-B021-63E6726DC546}">
      <text>
        <r>
          <rPr>
            <sz val="11"/>
            <color theme="1"/>
            <rFont val="Calibri"/>
            <family val="2"/>
            <scheme val="minor"/>
          </rPr>
          <t xml:space="preserve">high ratio not best fit to average ball  </t>
        </r>
      </text>
    </comment>
    <comment ref="J11" authorId="0" shapeId="0" xr:uid="{90EF0101-30C3-4D43-B794-3C765A1BFB32}">
      <text>
        <r>
          <rPr>
            <sz val="11"/>
            <color theme="1"/>
            <rFont val="Calibri"/>
            <family val="2"/>
            <scheme val="minor"/>
          </rPr>
          <t xml:space="preserve">small ratio not best fit for stitch/ bsob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Wei Chin Khaw</author>
  </authors>
  <commentList>
    <comment ref="I1" authorId="0" shapeId="0" xr:uid="{320FD19C-5DB9-48D1-9849-54B5598AB7E6}">
      <text>
        <r>
          <rPr>
            <b/>
            <sz val="9"/>
            <color indexed="81"/>
            <rFont val="Tahoma"/>
            <family val="2"/>
          </rPr>
          <t>1.2-1.5</t>
        </r>
      </text>
    </comment>
    <comment ref="L2" authorId="0" shapeId="0" xr:uid="{C4A1A037-40BD-40AC-93FA-7AFBB544EFCE}">
      <text>
        <r>
          <rPr>
            <sz val="11"/>
            <color theme="1"/>
            <rFont val="Calibri"/>
            <family val="2"/>
            <scheme val="minor"/>
          </rPr>
          <t xml:space="preserve">high ratio, not fit for small BPO
</t>
        </r>
      </text>
    </comment>
    <comment ref="L3" authorId="0" shapeId="0" xr:uid="{C4898D3B-EB5C-4E3A-8AFF-14A8C225F32D}">
      <text>
        <r>
          <rPr>
            <sz val="11"/>
            <color theme="1"/>
            <rFont val="Calibri"/>
            <family val="2"/>
            <scheme val="minor"/>
          </rPr>
          <t>smaller CD can be useful &lt;100um, but may have limitation for bigger ball bonding to achieve good ball shear (eg. especially lead ball)</t>
        </r>
      </text>
    </comment>
    <comment ref="O4" authorId="0" shapeId="0" xr:uid="{51148784-7595-48F0-9B83-380C606FE0D3}">
      <text>
        <r>
          <rPr>
            <sz val="11"/>
            <color theme="1"/>
            <rFont val="Calibri"/>
            <family val="2"/>
            <scheme val="minor"/>
          </rPr>
          <t xml:space="preserve">risk of thinner stitch heel in reliability stress, eg. bsob. suitable mainly for security bond where stitch is directly on the lead
</t>
        </r>
      </text>
    </comment>
    <comment ref="J5" authorId="0" shapeId="0" xr:uid="{4778F25B-4FA0-4EA2-A7FD-61379AD63679}">
      <text>
        <r>
          <rPr>
            <sz val="11"/>
            <color theme="1"/>
            <rFont val="Calibri"/>
            <family val="2"/>
            <scheme val="minor"/>
          </rPr>
          <t>small ratio not best fit for stitch/ bsob</t>
        </r>
      </text>
    </comment>
    <comment ref="P5" authorId="0" shapeId="0" xr:uid="{25FD8C52-76CD-4A55-B959-7CD4219E1DAD}">
      <text>
        <r>
          <rPr>
            <sz val="11"/>
            <color theme="1"/>
            <rFont val="Calibri"/>
            <family val="2"/>
            <scheme val="minor"/>
          </rPr>
          <t xml:space="preserve">not for narrow package
</t>
        </r>
      </text>
    </comment>
    <comment ref="L7" authorId="0" shapeId="0" xr:uid="{6535FCBD-2993-48A7-AEA6-832D53354813}">
      <text>
        <r>
          <rPr>
            <sz val="11"/>
            <color theme="1"/>
            <rFont val="Calibri"/>
            <family val="2"/>
            <scheme val="minor"/>
          </rPr>
          <t>best fit for BPO</t>
        </r>
      </text>
    </comment>
    <comment ref="J8" authorId="0" shapeId="0" xr:uid="{1E0BAE0D-C82D-4C18-80BA-8FFB165108B4}">
      <text>
        <r>
          <rPr>
            <sz val="11"/>
            <color theme="1"/>
            <rFont val="Calibri"/>
            <family val="2"/>
            <scheme val="minor"/>
          </rPr>
          <t xml:space="preserve">high ratio not best fit to average ball size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Wei Chin Khaw</author>
  </authors>
  <commentList>
    <comment ref="I1" authorId="0" shapeId="0" xr:uid="{8502789B-84E5-40C3-B2F2-D9ACD1E6C8FD}">
      <text>
        <r>
          <rPr>
            <b/>
            <sz val="9"/>
            <color indexed="81"/>
            <rFont val="Tahoma"/>
            <family val="2"/>
          </rPr>
          <t>1.2-1.5</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Wei Chin Khaw</author>
  </authors>
  <commentList>
    <comment ref="I1" authorId="0" shapeId="0" xr:uid="{623B7C4F-ECD1-49E6-9F8D-C263570986B8}">
      <text>
        <r>
          <rPr>
            <b/>
            <sz val="9"/>
            <color indexed="81"/>
            <rFont val="Tahoma"/>
            <family val="2"/>
          </rPr>
          <t>1.2-1.5</t>
        </r>
      </text>
    </comment>
    <comment ref="O2" authorId="0" shapeId="0" xr:uid="{D77B827D-20C5-425E-AFEA-E21F0E1E2D29}">
      <text>
        <r>
          <rPr>
            <sz val="11"/>
            <color theme="1"/>
            <rFont val="Calibri"/>
            <family val="2"/>
            <scheme val="minor"/>
          </rPr>
          <t>thinner stitch higher risk in reliability stress</t>
        </r>
      </text>
    </comment>
    <comment ref="J5" authorId="0" shapeId="0" xr:uid="{999FE3A3-F0D6-4099-B55D-D431F8E6E2EF}">
      <text>
        <r>
          <rPr>
            <sz val="11"/>
            <color theme="1"/>
            <rFont val="Calibri"/>
            <family val="2"/>
            <scheme val="minor"/>
          </rPr>
          <t>small ratio not best fit for stitch/ bsob</t>
        </r>
      </text>
    </comment>
    <comment ref="L5" authorId="0" shapeId="0" xr:uid="{4407F137-7900-454A-A60A-D732052371EC}">
      <text>
        <r>
          <rPr>
            <sz val="11"/>
            <color theme="1"/>
            <rFont val="Calibri"/>
            <family val="2"/>
            <scheme val="minor"/>
          </rPr>
          <t xml:space="preserve">smaller CD can be useful &lt;160um BPO, but may have limitation for bigger ball bonding to achieve good ball shear (eg. especially lead ball)
</t>
        </r>
      </text>
    </comment>
    <comment ref="P5" authorId="0" shapeId="0" xr:uid="{8B612E5C-0455-4711-BE1C-38F0D367598C}">
      <text>
        <r>
          <rPr>
            <sz val="11"/>
            <color theme="1"/>
            <rFont val="Calibri"/>
            <family val="2"/>
            <scheme val="minor"/>
          </rPr>
          <t xml:space="preserve">not for narrow package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27382</author>
    <author>19973</author>
  </authors>
  <commentList>
    <comment ref="D2" authorId="0" shapeId="0" xr:uid="{9CCDD3B7-5C57-49B6-B1EF-657A792B4873}">
      <text>
        <r>
          <rPr>
            <b/>
            <sz val="9"/>
            <color indexed="81"/>
            <rFont val="Tahoma"/>
            <family val="2"/>
          </rPr>
          <t>27382:</t>
        </r>
        <r>
          <rPr>
            <sz val="9"/>
            <color indexed="81"/>
            <rFont val="Tahoma"/>
            <family val="2"/>
          </rPr>
          <t xml:space="preserve">
Balance 20pcs for ENG</t>
        </r>
      </text>
    </comment>
    <comment ref="C10" authorId="1" shapeId="0" xr:uid="{E93473A0-2324-4A28-9D47-81E1FC4663DB}">
      <text>
        <r>
          <rPr>
            <b/>
            <sz val="9"/>
            <color indexed="81"/>
            <rFont val="Tahoma"/>
            <family val="2"/>
          </rPr>
          <t>19973:</t>
        </r>
        <r>
          <rPr>
            <sz val="9"/>
            <color indexed="81"/>
            <rFont val="Tahoma"/>
            <family val="2"/>
          </rPr>
          <t xml:space="preserve">
design benchmark double yellow cap</t>
        </r>
      </text>
    </comment>
    <comment ref="D24" authorId="0" shapeId="0" xr:uid="{7EFFF941-C382-4E87-9DD2-A314920C1352}">
      <text>
        <r>
          <rPr>
            <b/>
            <sz val="9"/>
            <color indexed="81"/>
            <rFont val="Tahoma"/>
            <family val="2"/>
          </rPr>
          <t>27382:</t>
        </r>
        <r>
          <rPr>
            <sz val="9"/>
            <color indexed="81"/>
            <rFont val="Tahoma"/>
            <family val="2"/>
          </rPr>
          <t xml:space="preserve">
Balance 20pcs for ENG</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27382</author>
    <author>19973</author>
  </authors>
  <commentList>
    <comment ref="A14" authorId="0" shapeId="0" xr:uid="{12EA9F04-75A5-4EC1-AFD7-74D6CD2DD5A1}">
      <text>
        <r>
          <rPr>
            <b/>
            <sz val="9"/>
            <color indexed="81"/>
            <rFont val="Tahoma"/>
            <family val="2"/>
          </rPr>
          <t>27382:</t>
        </r>
        <r>
          <rPr>
            <sz val="9"/>
            <color indexed="81"/>
            <rFont val="Tahoma"/>
            <family val="2"/>
          </rPr>
          <t xml:space="preserve">
Change cap material from "C" to "Z". Replaced with 11079508</t>
        </r>
      </text>
    </comment>
    <comment ref="D20" authorId="0" shapeId="0" xr:uid="{42E4750C-9D7D-4336-B702-F4E3B69EA491}">
      <text>
        <r>
          <rPr>
            <b/>
            <sz val="9"/>
            <color indexed="81"/>
            <rFont val="Tahoma"/>
            <family val="2"/>
          </rPr>
          <t>27382:</t>
        </r>
        <r>
          <rPr>
            <sz val="9"/>
            <color indexed="81"/>
            <rFont val="Tahoma"/>
            <family val="2"/>
          </rPr>
          <t xml:space="preserve">
Balance 20pcs for ENG</t>
        </r>
      </text>
    </comment>
    <comment ref="F20" authorId="0" shapeId="0" xr:uid="{C6CB3FCF-4E0B-4C4C-BF19-79EAA8741A50}">
      <text>
        <r>
          <rPr>
            <b/>
            <sz val="9"/>
            <color indexed="81"/>
            <rFont val="Tahoma"/>
            <family val="2"/>
          </rPr>
          <t>27382:</t>
        </r>
        <r>
          <rPr>
            <sz val="9"/>
            <color indexed="81"/>
            <rFont val="Tahoma"/>
            <family val="2"/>
          </rPr>
          <t xml:space="preserve">
Propose change to double black.
Original Pink ring</t>
        </r>
      </text>
    </comment>
    <comment ref="D23" authorId="0" shapeId="0" xr:uid="{BFD3E9EC-E0D3-4713-A402-9A7DE6CE4DA5}">
      <text>
        <r>
          <rPr>
            <b/>
            <sz val="9"/>
            <color indexed="81"/>
            <rFont val="Tahoma"/>
            <family val="2"/>
          </rPr>
          <t xml:space="preserve">27382:
</t>
        </r>
        <r>
          <rPr>
            <sz val="9"/>
            <color indexed="81"/>
            <rFont val="Tahoma"/>
            <family val="2"/>
          </rPr>
          <t xml:space="preserve">Balance 19pcs for ENG
</t>
        </r>
      </text>
    </comment>
    <comment ref="C24" authorId="1" shapeId="0" xr:uid="{27D9AAC2-8718-49DF-A215-9C54E8FFD0DB}">
      <text>
        <r>
          <rPr>
            <b/>
            <sz val="9"/>
            <color indexed="81"/>
            <rFont val="Tahoma"/>
            <family val="2"/>
          </rPr>
          <t>19973:</t>
        </r>
        <r>
          <rPr>
            <sz val="9"/>
            <color indexed="81"/>
            <rFont val="Tahoma"/>
            <family val="2"/>
          </rPr>
          <t xml:space="preserve">
design benchmark double yellow cap</t>
        </r>
      </text>
    </comment>
    <comment ref="D25" authorId="0" shapeId="0" xr:uid="{2580CA93-BDE8-4CDC-8D2F-FFDFBDC2630C}">
      <text>
        <r>
          <rPr>
            <b/>
            <sz val="9"/>
            <color indexed="81"/>
            <rFont val="Tahoma"/>
            <family val="2"/>
          </rPr>
          <t>27382:</t>
        </r>
        <r>
          <rPr>
            <sz val="9"/>
            <color indexed="81"/>
            <rFont val="Tahoma"/>
            <family val="2"/>
          </rPr>
          <t xml:space="preserve">
Balance 20pcs for ENG</t>
        </r>
      </text>
    </comment>
  </commentList>
</comments>
</file>

<file path=xl/sharedStrings.xml><?xml version="1.0" encoding="utf-8"?>
<sst xmlns="http://schemas.openxmlformats.org/spreadsheetml/2006/main" count="2099" uniqueCount="574">
  <si>
    <t>WD (um)</t>
  </si>
  <si>
    <t>BPO (um)</t>
  </si>
  <si>
    <t>Non-Bottleneck capillary P/N</t>
  </si>
  <si>
    <t>H (um)</t>
  </si>
  <si>
    <t>H/WD</t>
  </si>
  <si>
    <t>T  (um)</t>
  </si>
  <si>
    <t>T/BPOmax</t>
  </si>
  <si>
    <t>CD (um)</t>
  </si>
  <si>
    <t>CD/BPOmin</t>
  </si>
  <si>
    <t>Ref. Product</t>
  </si>
  <si>
    <t>Bottleneck capillary P/N</t>
  </si>
  <si>
    <t>Wire Dia.</t>
  </si>
  <si>
    <t>min</t>
  </si>
  <si>
    <t xml:space="preserve"> max</t>
  </si>
  <si>
    <t>Hole</t>
  </si>
  <si>
    <t>Tip dia</t>
  </si>
  <si>
    <t>Ch. dia</t>
  </si>
  <si>
    <t>UTSDIC-64LL-AZ-1/16-XL 20MTA</t>
  </si>
  <si>
    <t>Qper</t>
  </si>
  <si>
    <t>SBN-64225-865E-ZP36T-450</t>
  </si>
  <si>
    <t xml:space="preserve">SPT UTS-56KJ-AZM-1/16-XL-E </t>
  </si>
  <si>
    <t>MF3/Dragon/QFN Mold/OBF</t>
  </si>
  <si>
    <t>UTE120-51JI AZ-1/16-XL-20MTA OR=38</t>
  </si>
  <si>
    <t>N1217-59-25-20(8-120-20-L-P)</t>
  </si>
  <si>
    <t>MF2 (APT Plus)</t>
  </si>
  <si>
    <t>SBN-38130-515E-ZP36T-Y</t>
  </si>
  <si>
    <t>SI-30165-538E-ZS32 EHR</t>
  </si>
  <si>
    <t>QCAST-MF2 (QFNCast 2314)</t>
  </si>
  <si>
    <t>SU2-30120-4381F-RU34TP-Y</t>
  </si>
  <si>
    <t xml:space="preserve">43um </t>
  </si>
  <si>
    <t>Calla</t>
  </si>
  <si>
    <t>SI-23080-281E-ZS32-E</t>
  </si>
  <si>
    <t>Qcast</t>
  </si>
  <si>
    <t>Process development standard reference capillary controls and considerations:</t>
  </si>
  <si>
    <t>1. the capillary is best fit to smallest bond size, wire bond parameters adaptation may be necessary for the unified capillary, leading to different wb recipe in the product family and it must be aligned with the final process users.</t>
  </si>
  <si>
    <t>2. the capillary is prioritized for future use in any kinds of new product/project by referencing by the specific wire size</t>
  </si>
  <si>
    <t xml:space="preserve">3. engineer needs to select non-bottleneck capillary first unless there is a need for bottleneck capillary for a deep access narrow package </t>
  </si>
  <si>
    <t>4. in the case of non-fit capillary due to any unexpected situation, a new capillary creation consensus is required to be approved by WB BAT leaders.</t>
  </si>
  <si>
    <t>Status</t>
  </si>
  <si>
    <t>Vendor</t>
  </si>
  <si>
    <t>Capillary Type</t>
  </si>
  <si>
    <t>11 Series</t>
  </si>
  <si>
    <t>Location</t>
  </si>
  <si>
    <t>Colour Ring</t>
  </si>
  <si>
    <t>Wire Size (um / mils)</t>
  </si>
  <si>
    <t>H-Hole Diameter (um / mils)</t>
  </si>
  <si>
    <t>T-Tip Diameter (um / mils)</t>
  </si>
  <si>
    <t>Chamfer Diameter (um / mils)</t>
  </si>
  <si>
    <t>Inner Chamfer Angle (deg)</t>
  </si>
  <si>
    <t>Face Angle (deg)</t>
  </si>
  <si>
    <t>Cone Angle - MTA (deg)</t>
  </si>
  <si>
    <t>Outer Radius (um / mils)</t>
  </si>
  <si>
    <t>Finish</t>
  </si>
  <si>
    <t>Bottleneck angle, BNA (deg)</t>
  </si>
  <si>
    <t>Bottleneck Height (um)</t>
  </si>
  <si>
    <t>Chamfer Height</t>
  </si>
  <si>
    <t>Verified</t>
  </si>
  <si>
    <t>Qualified</t>
  </si>
  <si>
    <t>SPT</t>
  </si>
  <si>
    <t>SI-23110-435F-ZS32</t>
  </si>
  <si>
    <t>Both</t>
  </si>
  <si>
    <t>1st: Black; 2nd: Yellow</t>
  </si>
  <si>
    <t>17.8um / 0.7mils</t>
  </si>
  <si>
    <t>23um / 0.91mils</t>
  </si>
  <si>
    <t>110um / 4.3mils</t>
  </si>
  <si>
    <t>43um / 1.69mils</t>
  </si>
  <si>
    <t>20um / 0.8mils</t>
  </si>
  <si>
    <t>SI</t>
  </si>
  <si>
    <t>N/A</t>
  </si>
  <si>
    <t>1st: Light Blue; 2nd: Black</t>
  </si>
  <si>
    <t>80um / 3.15mils</t>
  </si>
  <si>
    <t>28um / 1.1mils</t>
  </si>
  <si>
    <t>12um / 0.47mils</t>
  </si>
  <si>
    <t>SI long life</t>
  </si>
  <si>
    <t>SI-23110-435F-ZS32-E</t>
  </si>
  <si>
    <t>Wuxi</t>
  </si>
  <si>
    <t>Range</t>
  </si>
  <si>
    <t>23um</t>
  </si>
  <si>
    <t>80-110um</t>
  </si>
  <si>
    <t>1-1.4</t>
  </si>
  <si>
    <t>28-43um</t>
  </si>
  <si>
    <t>0.5-0.7</t>
  </si>
  <si>
    <t>50-90 deg</t>
  </si>
  <si>
    <t>8-11 deg</t>
  </si>
  <si>
    <t>15deg</t>
  </si>
  <si>
    <t>12-20um</t>
  </si>
  <si>
    <t xml:space="preserve"> SI long life</t>
  </si>
  <si>
    <t>Reason of selection</t>
  </si>
  <si>
    <t>smallest T and CD, Si Long life capillary</t>
  </si>
  <si>
    <t>critical to keep as small as possible as 18um usually target for small BPO</t>
  </si>
  <si>
    <t>PECO</t>
  </si>
  <si>
    <t>N1012-59-20-12(8-120-20-L-P)</t>
  </si>
  <si>
    <t>No</t>
  </si>
  <si>
    <t>25.4um / 1.0mils</t>
  </si>
  <si>
    <t>30um / 1.2mils</t>
  </si>
  <si>
    <t>150um / 5.9mils</t>
  </si>
  <si>
    <t>50.8um / 2mils</t>
  </si>
  <si>
    <t>Polish</t>
  </si>
  <si>
    <t>UTS-18S-CM1/16XL-15DG</t>
  </si>
  <si>
    <t>PEN</t>
  </si>
  <si>
    <t>46um / 1.8mils</t>
  </si>
  <si>
    <t>165um / 6.5mils</t>
  </si>
  <si>
    <t>74um / 2.9mils</t>
  </si>
  <si>
    <t>38um / 1.5mils</t>
  </si>
  <si>
    <t>Matte</t>
  </si>
  <si>
    <t>SI-30165-5381E-ZS36</t>
  </si>
  <si>
    <t>Double Silver</t>
  </si>
  <si>
    <t>53um / 2.1mils</t>
  </si>
  <si>
    <t>50 / 120</t>
  </si>
  <si>
    <t>SI-30165-5381E-ZS32</t>
  </si>
  <si>
    <t>Double Yellow</t>
  </si>
  <si>
    <t>SI-30165-5381E-ZS34TS</t>
  </si>
  <si>
    <t>Double Gold</t>
  </si>
  <si>
    <t>SI-30150-465E-ZS32 EHR</t>
  </si>
  <si>
    <t>1st: Blue; 2nd: Yellow</t>
  </si>
  <si>
    <t>SI-30120-435E-ZS32 EHR</t>
  </si>
  <si>
    <t>1st: Green; 2nd: Yellow</t>
  </si>
  <si>
    <t>120um / 4.7mils</t>
  </si>
  <si>
    <t>43um / 1.7mils</t>
  </si>
  <si>
    <t>SI-30090-363F-ZS32-E</t>
  </si>
  <si>
    <t>1st: Silver; 2nd: Yellow</t>
  </si>
  <si>
    <t>90um / 3.5mils</t>
  </si>
  <si>
    <t>36um / 1.4mils</t>
  </si>
  <si>
    <t>SI-30120-5381E-ZS34</t>
  </si>
  <si>
    <t>11120423 / 11133055</t>
  </si>
  <si>
    <t>SI-30120-435E-ZS32-E EHR</t>
  </si>
  <si>
    <t>SI-30165-5381E-ZS36-E</t>
  </si>
  <si>
    <t>Ruby (Body)</t>
  </si>
  <si>
    <t>SU2 long life</t>
  </si>
  <si>
    <t>New revision (Jan'24)</t>
  </si>
  <si>
    <t>30-46um</t>
  </si>
  <si>
    <t>1.2-1.8</t>
  </si>
  <si>
    <t>90-165um</t>
  </si>
  <si>
    <t>1.1-2.1</t>
  </si>
  <si>
    <t>36-74um</t>
  </si>
  <si>
    <t>0.6-1.2</t>
  </si>
  <si>
    <t>70-120deg</t>
  </si>
  <si>
    <t>8-11deg</t>
  </si>
  <si>
    <t>15-30deg</t>
  </si>
  <si>
    <t>12-38um</t>
  </si>
  <si>
    <t xml:space="preserve">  SI Long life</t>
  </si>
  <si>
    <t>10-30deg</t>
  </si>
  <si>
    <t xml:space="preserve">  275um</t>
  </si>
  <si>
    <t>Bottleneck</t>
  </si>
  <si>
    <t>Non Bottleneck</t>
  </si>
  <si>
    <t>bottleneck: second smallest T sufficient for stitch forming, second smallest CD for smaller bond size, bottleneck for narrow pkg, Long life capillary is optional depends on the target lifespan. The capillary under qualified for Calla 2N wire (applicable for IC / LED) with advanced loop</t>
  </si>
  <si>
    <t>non-bottleneck: smaller MTA  selected for narrow gap deep access package</t>
  </si>
  <si>
    <t>old version (Aug'23)</t>
  </si>
  <si>
    <t>SI-30120-435E-ZS32 EHR</t>
  </si>
  <si>
    <t>Black</t>
  </si>
  <si>
    <t>30.5um / 1.2mils</t>
  </si>
  <si>
    <t>63.5um / 2.5mils</t>
  </si>
  <si>
    <t>51um / 2.0mils</t>
  </si>
  <si>
    <t>N1217-79-25-20(8-90-20-L-P)-Rad</t>
  </si>
  <si>
    <t>200.7um / 7.9mils</t>
  </si>
  <si>
    <t>N1215-59-29-15(8-90-20-L-P)</t>
  </si>
  <si>
    <t>Dark Blue</t>
  </si>
  <si>
    <t>73.66um / 2.9mils</t>
  </si>
  <si>
    <t xml:space="preserve">N1317-59-24-15(4-120-20-L-P) </t>
  </si>
  <si>
    <t>Double Green</t>
  </si>
  <si>
    <t>61um / 1.7mils</t>
  </si>
  <si>
    <t>N1317-59-29-15(8-120-20-L-P)</t>
  </si>
  <si>
    <t>Orange</t>
  </si>
  <si>
    <t>TS70-17-CM-1/16XL</t>
  </si>
  <si>
    <t>203um / 8.0mils</t>
  </si>
  <si>
    <t>89um / 3.5mils</t>
  </si>
  <si>
    <t>UTS-38GP-AZ-1/16-XL OR=38</t>
  </si>
  <si>
    <t>Gold</t>
  </si>
  <si>
    <r>
      <rPr>
        <sz val="10"/>
        <color rgb="FFFF0000"/>
        <rFont val="Arial"/>
      </rPr>
      <t>BSB-38200-685E-ZP34</t>
    </r>
    <r>
      <rPr>
        <sz val="10"/>
        <color rgb="FF000000"/>
        <rFont val="Arial"/>
      </rPr>
      <t xml:space="preserve"> or BSB-38200-685E-ZP36(20MTA)</t>
    </r>
  </si>
  <si>
    <t>Double Black</t>
  </si>
  <si>
    <t>200um / 7.9mils</t>
  </si>
  <si>
    <t>68um / 2.7mils</t>
  </si>
  <si>
    <t>TS70-17-AZM-1/16XL</t>
  </si>
  <si>
    <t>SI-38120-685E-ZS32</t>
  </si>
  <si>
    <t>1st: Blue; 2nd: Red</t>
  </si>
  <si>
    <t>68.58um / 2.7mils</t>
  </si>
  <si>
    <t>UTS120-43JH-AZ-1/16-XL (15MTA OR=38)</t>
  </si>
  <si>
    <t>SU2-38130-585E-ZU34TP</t>
  </si>
  <si>
    <t>Double green</t>
  </si>
  <si>
    <t>130um / 5.1mils</t>
  </si>
  <si>
    <t>58um / 2.28mils</t>
  </si>
  <si>
    <t>Granular</t>
  </si>
  <si>
    <t>BSB-48180-653E-ZP34</t>
  </si>
  <si>
    <t>48um / 1.89mils</t>
  </si>
  <si>
    <t>180um / 7.09mils</t>
  </si>
  <si>
    <t>65um / 2.56mils</t>
  </si>
  <si>
    <t>BSB-38200-685E-ZP34-E</t>
  </si>
  <si>
    <t>Long Life</t>
  </si>
  <si>
    <t>Double pink</t>
  </si>
  <si>
    <t>51.5um/2.03mils</t>
  </si>
  <si>
    <t>30um/1.2mils</t>
  </si>
  <si>
    <t>38um-48um</t>
  </si>
  <si>
    <t>1.3-1.4</t>
  </si>
  <si>
    <t>120um-200um</t>
  </si>
  <si>
    <t>1.3-2.1</t>
  </si>
  <si>
    <t>53um-74um</t>
  </si>
  <si>
    <t>0.6-0.9</t>
  </si>
  <si>
    <t>8deg</t>
  </si>
  <si>
    <t>20-89um</t>
  </si>
  <si>
    <t>SI Long life</t>
  </si>
  <si>
    <t>Ag wire</t>
  </si>
  <si>
    <t>130um / 5.9mils</t>
  </si>
  <si>
    <t>Tatsuta recommend capillary</t>
  </si>
  <si>
    <t>C23062303</t>
  </si>
  <si>
    <t xml:space="preserve">39um </t>
  </si>
  <si>
    <t>120um</t>
  </si>
  <si>
    <t>48um</t>
  </si>
  <si>
    <t>17um</t>
  </si>
  <si>
    <t>3rd smallest T and CD for medium bond size. Medium MTA for narrow package</t>
  </si>
  <si>
    <t>bottleneck is selected for narrow gap deep access package and small ball</t>
  </si>
  <si>
    <t>N1520-80-34-15(11-120-20-L-P)</t>
  </si>
  <si>
    <t>Purple</t>
  </si>
  <si>
    <t>38.1um / 1.5mils</t>
  </si>
  <si>
    <t>86.36um / 3.4mils</t>
  </si>
  <si>
    <t>N1520-80-27-15(11-90-20-L-P)</t>
  </si>
  <si>
    <t>BSB-51200-745C-CP34</t>
  </si>
  <si>
    <t>Double Red</t>
  </si>
  <si>
    <t xml:space="preserve"> 38.1um / 1.5mils</t>
  </si>
  <si>
    <t>UTS-51II-AZ-1/16-XL</t>
  </si>
  <si>
    <t>1st:Light Blue ; 2nd: Orange</t>
  </si>
  <si>
    <t>78um / 3.07mils</t>
  </si>
  <si>
    <t>BSB-51200-745C-ZP34</t>
  </si>
  <si>
    <t xml:space="preserve">Double Orange </t>
  </si>
  <si>
    <t>SI-50225-925F-ZS34-E</t>
  </si>
  <si>
    <t>50um / 1.97mils</t>
  </si>
  <si>
    <t>225um / 8.8mils</t>
  </si>
  <si>
    <t>92um / 3.62mils</t>
  </si>
  <si>
    <t xml:space="preserve">Type </t>
  </si>
  <si>
    <t>50-56um</t>
  </si>
  <si>
    <t>1.1-1.5</t>
  </si>
  <si>
    <t>180-225um</t>
  </si>
  <si>
    <t>1.2-1.7</t>
  </si>
  <si>
    <t>68-92um</t>
  </si>
  <si>
    <t>90-120deg</t>
  </si>
  <si>
    <t>4-11deg</t>
  </si>
  <si>
    <t>20-30deg</t>
  </si>
  <si>
    <t>38-51um</t>
  </si>
  <si>
    <t>medium T and CD for typical bond size. Smallest MTA for narrow package</t>
  </si>
  <si>
    <t>UTS-56KJ-AZM-1/16-XL-E 20MTA</t>
  </si>
  <si>
    <t>Double Blue</t>
  </si>
  <si>
    <t>38.1 - 43.2um / 1.5 - 1.7mils</t>
  </si>
  <si>
    <t>56um / 2.2mils</t>
  </si>
  <si>
    <t>225um / 8.9mils</t>
  </si>
  <si>
    <t>86um / 3.4mils</t>
  </si>
  <si>
    <t>SBN-64260-1105C64-ZP36T-430</t>
  </si>
  <si>
    <t>Green</t>
  </si>
  <si>
    <t>50.8um / 2.0mils</t>
  </si>
  <si>
    <t>64um / 2.5mils</t>
  </si>
  <si>
    <t>260um / 10.2mils</t>
  </si>
  <si>
    <t>UTSDIC-64LL-C-1/16-XL 20MTA</t>
  </si>
  <si>
    <t>250um / 9.8mils</t>
  </si>
  <si>
    <t>100um / 3.9mils</t>
  </si>
  <si>
    <t xml:space="preserve"> Silver</t>
  </si>
  <si>
    <t>UTS-64II-AZ-1/16-XL</t>
  </si>
  <si>
    <t>1st:Light green ; 2nd: Pink</t>
  </si>
  <si>
    <t>UTSDIC-64JL-AZ-1/16-XL 20MTA</t>
  </si>
  <si>
    <t>64um</t>
  </si>
  <si>
    <t>180-260um</t>
  </si>
  <si>
    <t>78-110um</t>
  </si>
  <si>
    <t>4-8 deg</t>
  </si>
  <si>
    <t>1-8um</t>
  </si>
  <si>
    <t xml:space="preserve">high T and CD for standard bond size. </t>
  </si>
  <si>
    <t>bottleneck for narrow gap package</t>
  </si>
  <si>
    <t>active</t>
  </si>
  <si>
    <t>inactive</t>
  </si>
  <si>
    <r>
      <rPr>
        <sz val="10"/>
        <color indexed="10"/>
        <rFont val="Arial"/>
        <family val="2"/>
      </rPr>
      <t>BSB-38200-685E-ZP34</t>
    </r>
    <r>
      <rPr>
        <sz val="10"/>
        <color indexed="8"/>
        <rFont val="Arial"/>
        <family val="2"/>
      </rPr>
      <t xml:space="preserve"> or BSB-38200-685E-ZP36(20MTA)</t>
    </r>
  </si>
  <si>
    <t>33um / 1.3mils</t>
  </si>
  <si>
    <t>PP TEH (9/9/2014)</t>
  </si>
  <si>
    <t>N1317-59-24-15(4-120-20-L-P)</t>
  </si>
  <si>
    <t>60.96um / 2.4mils</t>
  </si>
  <si>
    <t>25.4 - 33.0um / 1.0 - 1.3mils</t>
  </si>
  <si>
    <t>30.5 - 33.0um / 1.2 - 1.3mils</t>
  </si>
  <si>
    <t>33.0 - 38.1um / 1.3 - 1.5mils</t>
  </si>
  <si>
    <t>PP TEH (10/9/2014)</t>
  </si>
  <si>
    <t>BSB-38200-685E-CP36(20MTA)</t>
  </si>
  <si>
    <t>22.9 - 25.4um / 0.9 - 1.0mils</t>
  </si>
  <si>
    <t>PP TEH (28/3/2016)</t>
  </si>
  <si>
    <t>PP TEH</t>
  </si>
  <si>
    <t>PRTR-A-.045-.04.5</t>
  </si>
  <si>
    <t>N1217-59-25-20(8-120-20-L-P)(L)</t>
  </si>
  <si>
    <t>N1317-59-24-15(4-120-20-L-P)(L)</t>
  </si>
  <si>
    <t>Sample</t>
  </si>
  <si>
    <t>SI-38165-585E-ZS34</t>
  </si>
  <si>
    <t>10 PCS</t>
  </si>
  <si>
    <t>UTS-38HE-AZM-1/16-XL 20MTA</t>
  </si>
  <si>
    <t>14 PCS</t>
  </si>
  <si>
    <t>58um / 2.3mils</t>
  </si>
  <si>
    <t>SI-30165-488E-ZS32 EHR</t>
  </si>
  <si>
    <t>2 PCS</t>
  </si>
  <si>
    <t>48um / 1.9mils</t>
  </si>
  <si>
    <t>SI-28110-465F-ZS32</t>
  </si>
  <si>
    <t>23 - 25um</t>
  </si>
  <si>
    <t>110um / 4.33mils</t>
  </si>
  <si>
    <t>SI-30150-465E-ZS34</t>
  </si>
  <si>
    <t>3 PCS</t>
  </si>
  <si>
    <t>SI-28110-565F-ZS32</t>
  </si>
  <si>
    <t>4 PCS</t>
  </si>
  <si>
    <t>56um / 1.8mils</t>
  </si>
  <si>
    <t>SI-30165-488E-ZS34 EHR</t>
  </si>
  <si>
    <t>5 PCS</t>
  </si>
  <si>
    <t>SI-25110-465F-ZS32</t>
  </si>
  <si>
    <t>25um / 1mils</t>
  </si>
  <si>
    <t>SI-51200-688F38-ZS34</t>
  </si>
  <si>
    <r>
      <t>SI-30120-43</t>
    </r>
    <r>
      <rPr>
        <sz val="10"/>
        <color rgb="FFFF0000"/>
        <rFont val="Arial"/>
        <family val="2"/>
      </rPr>
      <t>3</t>
    </r>
    <r>
      <rPr>
        <sz val="10"/>
        <rFont val="Arial"/>
        <family val="2"/>
      </rPr>
      <t>E-ZS32 EHR</t>
    </r>
  </si>
  <si>
    <t>SBN-64260-1105C64-ZP36T</t>
  </si>
  <si>
    <t>9 PCS</t>
  </si>
  <si>
    <t>SI-30100-413E-ZS34T-Y</t>
  </si>
  <si>
    <t>41um / 1.61mils</t>
  </si>
  <si>
    <t>SI-25090-383F-ZS34TP-Y</t>
  </si>
  <si>
    <t>90um / 3.54mils</t>
  </si>
  <si>
    <t xml:space="preserve">SI-25090-353F-ZS34TP-Y </t>
  </si>
  <si>
    <t>35um / 1.38mils</t>
  </si>
  <si>
    <t>No.</t>
  </si>
  <si>
    <t xml:space="preserve">Material </t>
  </si>
  <si>
    <t>Color</t>
  </si>
  <si>
    <t>FA</t>
  </si>
  <si>
    <t>Hole Size</t>
  </si>
  <si>
    <t>Chamfer Diameter</t>
  </si>
  <si>
    <t>Tip Size</t>
  </si>
  <si>
    <t>ICA</t>
  </si>
  <si>
    <t>MTA</t>
  </si>
  <si>
    <t>Wire Size</t>
  </si>
  <si>
    <t>Material</t>
  </si>
  <si>
    <t>QTY In</t>
  </si>
  <si>
    <t>Unit Price, MYR</t>
  </si>
  <si>
    <t>Product</t>
  </si>
  <si>
    <t>Activity</t>
  </si>
  <si>
    <t xml:space="preserve">SPT SI-30165-5381E-ZS36 (Double Silver Ring) </t>
  </si>
  <si>
    <t>Double Silver Ring</t>
  </si>
  <si>
    <t>1.2 (30um)</t>
  </si>
  <si>
    <t>2 (53um)</t>
  </si>
  <si>
    <t>6.5 (165um)</t>
  </si>
  <si>
    <t>DIC (50/120)</t>
  </si>
  <si>
    <t>30 degree</t>
  </si>
  <si>
    <t>25um</t>
  </si>
  <si>
    <t>Zirconia Composite</t>
  </si>
  <si>
    <t>STS/QCAST-MF2 (QFNCast T 2218)</t>
  </si>
  <si>
    <t>Soraneswari Venu Gopal</t>
  </si>
  <si>
    <t xml:space="preserve">SPT SI-30165-538E-ZS32 EHR (Double Yellow Ring) </t>
  </si>
  <si>
    <t>Double Yellow Ring</t>
  </si>
  <si>
    <t>SIC (120)</t>
  </si>
  <si>
    <t>15 degree</t>
  </si>
  <si>
    <t xml:space="preserve">SPT SI-30165-5381E-ZS34TS (Double Gold Ring) </t>
  </si>
  <si>
    <t>Double Gold Ring</t>
  </si>
  <si>
    <t>20 degree</t>
  </si>
  <si>
    <t>QCAST-MF2 (WhiteDew QFNCast 4014-2)</t>
  </si>
  <si>
    <t>bottleneck concept (no loading for this year)</t>
  </si>
  <si>
    <t xml:space="preserve">SPT SI-30120-435E-ZS32 (Yellow Green) </t>
  </si>
  <si>
    <t>Yellow Green Ring</t>
  </si>
  <si>
    <t>1.7 (43um)</t>
  </si>
  <si>
    <t>4.7 (120um)</t>
  </si>
  <si>
    <t>QCAST-MF2</t>
  </si>
  <si>
    <t>Transferred WUXI</t>
  </si>
  <si>
    <t xml:space="preserve">SPT SI-30090-363F-ZS32-E </t>
  </si>
  <si>
    <t>Grey Yellow Ring</t>
  </si>
  <si>
    <t>1.4 (36um)</t>
  </si>
  <si>
    <t>3.5 (90um)</t>
  </si>
  <si>
    <t>QPER (Calla)</t>
  </si>
  <si>
    <t>PECO: N1217-79-2520 (8-90-20-L-P) (white)</t>
  </si>
  <si>
    <t>Peco</t>
  </si>
  <si>
    <t>White Blank</t>
  </si>
  <si>
    <t>2.5 (64um)</t>
  </si>
  <si>
    <t>7.9 (200um)</t>
  </si>
  <si>
    <t>30um</t>
  </si>
  <si>
    <t>Alumina + Zirconia</t>
  </si>
  <si>
    <t>Radial</t>
  </si>
  <si>
    <t xml:space="preserve">SPT TS70-17-AZM-1/16XL (Silver) </t>
  </si>
  <si>
    <t>2.9 (74um)</t>
  </si>
  <si>
    <t>8 (203um)</t>
  </si>
  <si>
    <t>Pretest Subfamily 7/8 completed. Left 1 awaitng for technician arrangement.</t>
  </si>
  <si>
    <t>On going (lifted stitch issue)</t>
  </si>
  <si>
    <t>Phase 1</t>
  </si>
  <si>
    <t xml:space="preserve">SPT UTS120-43JH-AZ-1/16-XL (15MTA OR=38) (White) </t>
  </si>
  <si>
    <t>Laser</t>
  </si>
  <si>
    <t>access back ground</t>
  </si>
  <si>
    <t>Phase 2</t>
  </si>
  <si>
    <t>PECO: N1215-59-29-15(8-90-20-L-P) (blue)</t>
  </si>
  <si>
    <t>Blue Ring</t>
  </si>
  <si>
    <t>1.5 (38)</t>
  </si>
  <si>
    <t>5.9 (150um)</t>
  </si>
  <si>
    <t>Smartled</t>
  </si>
  <si>
    <t>PECO: N1317-59-24-15(4-120-20-L-P) (Green)</t>
  </si>
  <si>
    <t>Double Green Ring</t>
  </si>
  <si>
    <t>2.4 (61um)</t>
  </si>
  <si>
    <r>
      <rPr>
        <strike/>
        <sz val="11"/>
        <color rgb="FF4B4B4A"/>
        <rFont val="Calibri"/>
        <family val="2"/>
        <scheme val="minor"/>
      </rPr>
      <t>STS</t>
    </r>
    <r>
      <rPr>
        <sz val="11"/>
        <color rgb="FF4B4B4A"/>
        <rFont val="Calibri"/>
        <family val="2"/>
        <scheme val="minor"/>
      </rPr>
      <t>/TOP 99 LEN/SMT</t>
    </r>
  </si>
  <si>
    <t>In progress test long life cap for Black package</t>
  </si>
  <si>
    <t>SPT UTS-38GP-AZ-1/16-XL OR38 (Gold ring)</t>
  </si>
  <si>
    <t>Gold Ring</t>
  </si>
  <si>
    <t>1.5 (38um)</t>
  </si>
  <si>
    <t>QPER/QCAST-MF2/QFN Mold/SMT</t>
  </si>
  <si>
    <t>SPT: BSB-38200-685E-ZP36 (20*MTA)</t>
  </si>
  <si>
    <t>Double Black Ring</t>
  </si>
  <si>
    <t>2.7 (68um)</t>
  </si>
  <si>
    <t>Ceramold PEN/OSTAR</t>
  </si>
  <si>
    <t>PECO: N1520-80-34-15 (11-120-20-L-P) (Purple ring)</t>
  </si>
  <si>
    <t>Purple Ring</t>
  </si>
  <si>
    <t>2 (51um)</t>
  </si>
  <si>
    <t>3.4 (86um)</t>
  </si>
  <si>
    <t>38um</t>
  </si>
  <si>
    <r>
      <rPr>
        <strike/>
        <sz val="11"/>
        <color rgb="FF4B4B4A"/>
        <rFont val="Calibri"/>
        <family val="2"/>
        <scheme val="minor"/>
      </rPr>
      <t>STS</t>
    </r>
    <r>
      <rPr>
        <sz val="11"/>
        <color rgb="FF4B4B4A"/>
        <rFont val="Calibri"/>
        <family val="2"/>
        <scheme val="minor"/>
      </rPr>
      <t>/QPER/Dragon/QFN Mold/FWL/OBF/Ceracast/Ceramold PEN</t>
    </r>
  </si>
  <si>
    <t>To try on long life cap?</t>
  </si>
  <si>
    <t>Compact (tailinig)</t>
  </si>
  <si>
    <t>SPT: BSB-51200-745C-ZP34</t>
  </si>
  <si>
    <t>Double Red Ring</t>
  </si>
  <si>
    <t>OSTAR/FAM</t>
  </si>
  <si>
    <t>Waiting CQM Folke approval</t>
  </si>
  <si>
    <t>Lifted stitch issue. Incomplete stitch (</t>
  </si>
  <si>
    <t>Cheah Tuck Loon</t>
  </si>
  <si>
    <t>SPT UTE120-51JI-AZ-1/16-XL 20DG OR=38 (Double Orange)</t>
  </si>
  <si>
    <t>Double Orange Ring</t>
  </si>
  <si>
    <t>3.1 (78um)</t>
  </si>
  <si>
    <t>OBFS/SUZUKA/SYRAKOS</t>
  </si>
  <si>
    <t>Small bond pad opening</t>
  </si>
  <si>
    <t>Gan Xue Jing</t>
  </si>
  <si>
    <t>SPT: UTS-51II-AZ-1/16-XL</t>
  </si>
  <si>
    <t>Blue Red Ring</t>
  </si>
  <si>
    <t>7.1 (180um)</t>
  </si>
  <si>
    <t>OSTAR</t>
  </si>
  <si>
    <t>SPT UTS-56KJ-AZM-1/16-XL-E 20MTA (Double Blue ring)</t>
  </si>
  <si>
    <t>Double Blue Ring</t>
  </si>
  <si>
    <t>2.2 (56um)</t>
  </si>
  <si>
    <t>8.9 (225um)</t>
  </si>
  <si>
    <t>44um</t>
  </si>
  <si>
    <t>SPT SBN-64260-1105C64-ZP36T-430 (11047626)</t>
  </si>
  <si>
    <t>Green Ring</t>
  </si>
  <si>
    <t>4.3 (110um)</t>
  </si>
  <si>
    <t>10.2 (260um)</t>
  </si>
  <si>
    <t>50um</t>
  </si>
  <si>
    <t>OSTAR/QFN Mold</t>
  </si>
  <si>
    <t>SPT UTS DIC-64LL-AZ-1/16-XL 20MTA (Silver Ring)</t>
  </si>
  <si>
    <t>3.9 (100um)</t>
  </si>
  <si>
    <t>9.8 (250um)</t>
  </si>
  <si>
    <r>
      <t>QPER/</t>
    </r>
    <r>
      <rPr>
        <b/>
        <strike/>
        <sz val="11"/>
        <color rgb="FF9900FF"/>
        <rFont val="Calibri"/>
        <family val="2"/>
        <scheme val="minor"/>
      </rPr>
      <t>Dragon</t>
    </r>
  </si>
  <si>
    <t>Dragon going to PDN year 2023</t>
  </si>
  <si>
    <t>Soft loading. When to PDN?</t>
  </si>
  <si>
    <t>SPT: UTS-64II-AZ-1/16-XL</t>
  </si>
  <si>
    <t>Green Red Ring</t>
  </si>
  <si>
    <t>Cap touch down:</t>
  </si>
  <si>
    <t>Smartled 200k</t>
  </si>
  <si>
    <t>Radial 300k</t>
  </si>
  <si>
    <t>Laser 100k</t>
  </si>
  <si>
    <t>Ceramic &amp; Ostar -all 720k</t>
  </si>
  <si>
    <t>QFNCast/QFNMold -all 720k</t>
  </si>
  <si>
    <t>MLA 720k</t>
  </si>
  <si>
    <t>T99/SMT -1.2kk</t>
  </si>
  <si>
    <t>Dragon 1kk</t>
  </si>
  <si>
    <t>Supplier</t>
  </si>
  <si>
    <t>P/no</t>
  </si>
  <si>
    <t>Target lifespan</t>
  </si>
  <si>
    <t>Price (USD)</t>
  </si>
  <si>
    <t>Price Delta</t>
  </si>
  <si>
    <t>Density (g/cm3)</t>
  </si>
  <si>
    <t>Hardness (HV)</t>
  </si>
  <si>
    <t>Finishing</t>
  </si>
  <si>
    <t>Pro</t>
  </si>
  <si>
    <t>Con</t>
  </si>
  <si>
    <t>CC</t>
  </si>
  <si>
    <t>720k</t>
  </si>
  <si>
    <t>Ref</t>
  </si>
  <si>
    <t>M/P</t>
  </si>
  <si>
    <t>low cost, no displacement variation due to existing cap material</t>
  </si>
  <si>
    <t>not "long life"</t>
  </si>
  <si>
    <t>N1215-59-29-15(8-90-20-L-P)Vacsin</t>
  </si>
  <si>
    <t>Vacsin</t>
  </si>
  <si>
    <t>+50-100%</t>
  </si>
  <si>
    <t>better energy efficiency, long life</t>
  </si>
  <si>
    <t xml:space="preserve">med cost (+7% of PECO std), add variation on transducer displacement  </t>
  </si>
  <si>
    <t>N1215-59-29-15(8-90-20-L-P)L</t>
  </si>
  <si>
    <t>Optima (Cu wb)</t>
  </si>
  <si>
    <t>M/P/UF</t>
  </si>
  <si>
    <t xml:space="preserve">med cost (+10% of PECO std), add  variation on transducer displacement  </t>
  </si>
  <si>
    <t>AZ</t>
  </si>
  <si>
    <t>Ref1</t>
  </si>
  <si>
    <t xml:space="preserve">better energy efficiency </t>
  </si>
  <si>
    <r>
      <t>SI-30120-435E-ZS32-</t>
    </r>
    <r>
      <rPr>
        <b/>
        <sz val="9"/>
        <color rgb="FF00B050"/>
        <rFont val="Verdana"/>
      </rPr>
      <t>Y</t>
    </r>
    <r>
      <rPr>
        <sz val="9"/>
        <color rgb="FF00B050"/>
        <rFont val="Verdana"/>
      </rPr>
      <t xml:space="preserve"> EHR</t>
    </r>
  </si>
  <si>
    <t>high cost (+92% of PECO Vac)</t>
  </si>
  <si>
    <t>SU2-30120-4381F-ZU34TP</t>
  </si>
  <si>
    <t>Ref2</t>
  </si>
  <si>
    <t>SU2</t>
  </si>
  <si>
    <t>better energy efficiency</t>
  </si>
  <si>
    <t>no "long life"</t>
  </si>
  <si>
    <r>
      <rPr>
        <sz val="9"/>
        <color rgb="FF00B050"/>
        <rFont val="Verdana"/>
      </rPr>
      <t>SU2-30120-4381F-ZU34TP-</t>
    </r>
    <r>
      <rPr>
        <b/>
        <sz val="9"/>
        <color rgb="FF00B050"/>
        <rFont val="Verdana"/>
      </rPr>
      <t>Y</t>
    </r>
  </si>
  <si>
    <t>SU2-30120-4381F-RU34TP</t>
  </si>
  <si>
    <t>AZR (Cu wb)</t>
  </si>
  <si>
    <t>high cost (+92% of PECO Vac), no "long life"</t>
  </si>
  <si>
    <r>
      <rPr>
        <sz val="9"/>
        <color rgb="FF00B050"/>
        <rFont val="Verdana"/>
      </rPr>
      <t>SU2-30120-4381F-RU34TP-</t>
    </r>
    <r>
      <rPr>
        <b/>
        <sz val="9"/>
        <color rgb="FF00B050"/>
        <rFont val="Verdana"/>
      </rPr>
      <t>Y</t>
    </r>
  </si>
  <si>
    <t>high cost (+100% of PECO Opt)</t>
  </si>
  <si>
    <t>Price</t>
  </si>
  <si>
    <t>Density</t>
  </si>
  <si>
    <t>low cost, less portability variation</t>
  </si>
  <si>
    <r>
      <rPr>
        <sz val="11"/>
        <color rgb="FF00B050"/>
        <rFont val="Calibri"/>
        <family val="2"/>
        <scheme val="minor"/>
      </rPr>
      <t>better energy efficiency</t>
    </r>
    <r>
      <rPr>
        <sz val="11"/>
        <color theme="1"/>
        <rFont val="Calibri"/>
        <family val="2"/>
        <scheme val="minor"/>
      </rPr>
      <t xml:space="preserve">, </t>
    </r>
    <r>
      <rPr>
        <sz val="11"/>
        <color theme="4"/>
        <rFont val="Calibri"/>
        <family val="2"/>
        <scheme val="minor"/>
      </rPr>
      <t>long life</t>
    </r>
  </si>
  <si>
    <t>med cost +7%, portability variation</t>
  </si>
  <si>
    <t>Optima Ruby (Cu WB)</t>
  </si>
  <si>
    <r>
      <rPr>
        <sz val="11"/>
        <color rgb="FF00B050"/>
        <rFont val="Calibri"/>
        <family val="2"/>
        <scheme val="minor"/>
      </rPr>
      <t>better energy efficiency</t>
    </r>
    <r>
      <rPr>
        <sz val="11"/>
        <color theme="1"/>
        <rFont val="Calibri"/>
        <family val="2"/>
        <scheme val="minor"/>
      </rPr>
      <t>,</t>
    </r>
    <r>
      <rPr>
        <sz val="11"/>
        <color theme="4"/>
        <rFont val="Calibri"/>
        <family val="2"/>
        <scheme val="minor"/>
      </rPr>
      <t xml:space="preserve"> long life</t>
    </r>
  </si>
  <si>
    <t>med cost +10%,  portability variation</t>
  </si>
  <si>
    <t>6.5-6.6</t>
  </si>
  <si>
    <r>
      <t>better energy efficiency,</t>
    </r>
    <r>
      <rPr>
        <sz val="11"/>
        <rFont val="Calibri"/>
        <family val="2"/>
        <scheme val="minor"/>
      </rPr>
      <t xml:space="preserve"> less portability variation</t>
    </r>
  </si>
  <si>
    <t>high cost +92%, not "long life"</t>
  </si>
  <si>
    <t>AZ - Y</t>
  </si>
  <si>
    <t>6.8-7.6</t>
  </si>
  <si>
    <t>5-8%</t>
  </si>
  <si>
    <r>
      <rPr>
        <sz val="11"/>
        <color rgb="FF00B050"/>
        <rFont val="Calibri"/>
        <family val="2"/>
        <scheme val="minor"/>
      </rPr>
      <t>better energy efficiency</t>
    </r>
    <r>
      <rPr>
        <sz val="11"/>
        <color theme="1"/>
        <rFont val="Calibri"/>
        <family val="2"/>
        <scheme val="minor"/>
      </rPr>
      <t xml:space="preserve">, </t>
    </r>
    <r>
      <rPr>
        <sz val="11"/>
        <color theme="4"/>
        <rFont val="Calibri"/>
        <family val="2"/>
        <scheme val="minor"/>
      </rPr>
      <t>long life</t>
    </r>
    <r>
      <rPr>
        <sz val="11"/>
        <color theme="1"/>
        <rFont val="Calibri"/>
        <family val="2"/>
        <scheme val="minor"/>
      </rPr>
      <t>,  less portability variation</t>
    </r>
  </si>
  <si>
    <t xml:space="preserve">high cost +92% </t>
  </si>
  <si>
    <t>AZR Ruby (Cu WB) - Y</t>
  </si>
  <si>
    <r>
      <rPr>
        <sz val="11"/>
        <color rgb="FF00B050"/>
        <rFont val="Calibri"/>
        <family val="2"/>
        <scheme val="minor"/>
      </rPr>
      <t>better energy efficiency</t>
    </r>
    <r>
      <rPr>
        <sz val="11"/>
        <color theme="1"/>
        <rFont val="Calibri"/>
        <family val="2"/>
        <scheme val="minor"/>
      </rPr>
      <t xml:space="preserve">, </t>
    </r>
    <r>
      <rPr>
        <sz val="11"/>
        <color theme="4"/>
        <rFont val="Calibri"/>
        <family val="2"/>
        <scheme val="minor"/>
      </rPr>
      <t xml:space="preserve">long life, </t>
    </r>
    <r>
      <rPr>
        <sz val="11"/>
        <rFont val="Calibri"/>
        <family val="2"/>
        <scheme val="minor"/>
      </rPr>
      <t>less portability variation</t>
    </r>
  </si>
  <si>
    <t>high cost +100%</t>
  </si>
  <si>
    <t>Hardness:</t>
  </si>
  <si>
    <r>
      <t xml:space="preserve">AZR </t>
    </r>
    <r>
      <rPr>
        <b/>
        <sz val="11"/>
        <color theme="1"/>
        <rFont val="Wingdings"/>
        <charset val="1"/>
      </rPr>
      <t>à</t>
    </r>
    <r>
      <rPr>
        <b/>
        <sz val="11"/>
        <color theme="1"/>
        <rFont val="Aptos"/>
        <family val="2"/>
        <charset val="1"/>
      </rPr>
      <t xml:space="preserve"> 2050 HV1 +/- 50 HV1</t>
    </r>
  </si>
  <si>
    <r>
      <t xml:space="preserve">AZ </t>
    </r>
    <r>
      <rPr>
        <b/>
        <sz val="11"/>
        <color theme="1"/>
        <rFont val="Wingdings"/>
        <charset val="1"/>
      </rPr>
      <t>à</t>
    </r>
    <r>
      <rPr>
        <b/>
        <sz val="11"/>
        <color theme="1"/>
        <rFont val="Aptos"/>
        <family val="2"/>
        <charset val="1"/>
      </rPr>
      <t xml:space="preserve"> 2000 HV1 +/- 50 HV1</t>
    </r>
  </si>
  <si>
    <t> </t>
  </si>
  <si>
    <r>
      <t>Density</t>
    </r>
    <r>
      <rPr>
        <sz val="11"/>
        <color theme="1"/>
        <rFont val="Aptos"/>
        <family val="2"/>
        <charset val="1"/>
      </rPr>
      <t>:</t>
    </r>
  </si>
  <si>
    <r>
      <t xml:space="preserve">AZR and AZ </t>
    </r>
    <r>
      <rPr>
        <b/>
        <sz val="11"/>
        <color theme="1"/>
        <rFont val="Wingdings"/>
        <charset val="1"/>
      </rPr>
      <t>à</t>
    </r>
    <r>
      <rPr>
        <b/>
        <sz val="11"/>
        <color theme="1"/>
        <rFont val="Aptos"/>
        <family val="2"/>
        <charset val="1"/>
      </rPr>
      <t xml:space="preserve"> 4.25 g/cm3 +/- 0.10g/cm3</t>
    </r>
  </si>
  <si>
    <r>
      <t>Grain size</t>
    </r>
    <r>
      <rPr>
        <sz val="11"/>
        <color theme="1"/>
        <rFont val="Aptos"/>
        <family val="2"/>
        <charset val="1"/>
      </rPr>
      <t xml:space="preserve">: target </t>
    </r>
    <r>
      <rPr>
        <b/>
        <sz val="11"/>
        <color theme="1"/>
        <rFont val="Aptos"/>
        <family val="2"/>
        <charset val="1"/>
      </rPr>
      <t>0.8 -0.9um</t>
    </r>
  </si>
  <si>
    <t>https://osram.sharepoint.com/:b:/r/teams/BATWireBonding/Shared%20Documents/General/PECOTek%20Capillary%20Lineup.pdf?csf=1&amp;web=1&amp;e=rIEksY</t>
  </si>
  <si>
    <t>Design_Rules_FE_-_DFM_BE.xls (sharepoint.com)</t>
  </si>
  <si>
    <t>Wire</t>
  </si>
  <si>
    <t xml:space="preserve">min. BPO </t>
  </si>
  <si>
    <t>BPO next</t>
  </si>
  <si>
    <t>SPC Ball shear LSL</t>
  </si>
  <si>
    <t xml:space="preserve">Minimum ball size </t>
  </si>
  <si>
    <t>Product Family</t>
  </si>
  <si>
    <t>170um</t>
  </si>
  <si>
    <t>150um</t>
  </si>
  <si>
    <t>87g</t>
  </si>
  <si>
    <t>120*120</t>
  </si>
  <si>
    <t>QFNmold 3737</t>
  </si>
  <si>
    <t>130um</t>
  </si>
  <si>
    <t>100um</t>
  </si>
  <si>
    <t>65g</t>
  </si>
  <si>
    <t>110*110</t>
  </si>
  <si>
    <t>Ceramold T3030</t>
  </si>
  <si>
    <t>90um</t>
  </si>
  <si>
    <t>85um</t>
  </si>
  <si>
    <t>35g</t>
  </si>
  <si>
    <t>85*85</t>
  </si>
  <si>
    <t>T99 LRT68F</t>
  </si>
  <si>
    <t>60um</t>
  </si>
  <si>
    <t>17g</t>
  </si>
  <si>
    <t>60*60</t>
  </si>
  <si>
    <t>4014 C4C</t>
  </si>
  <si>
    <t>75um</t>
  </si>
  <si>
    <t>20um</t>
  </si>
  <si>
    <t>70um</t>
  </si>
  <si>
    <t>18um</t>
  </si>
  <si>
    <t>Offpad allowed</t>
  </si>
  <si>
    <t>ThinGaN</t>
  </si>
  <si>
    <t>5um</t>
  </si>
  <si>
    <t>UX3</t>
  </si>
  <si>
    <t>Epistar</t>
  </si>
  <si>
    <t>ThinFilm</t>
  </si>
  <si>
    <t>0um</t>
  </si>
  <si>
    <t>Colour:</t>
  </si>
  <si>
    <t>S/ N</t>
  </si>
  <si>
    <t>SPT (Maximum 2 ring allow)</t>
  </si>
  <si>
    <t>PECO (Maximum 3 ring allow)</t>
  </si>
  <si>
    <t>Heraeus (Wire Spool Colour)</t>
  </si>
  <si>
    <t>Remark: 25um use yellow ring because follow Ag wire spool colour.</t>
  </si>
  <si>
    <t>Blue</t>
  </si>
  <si>
    <t>Brown</t>
  </si>
  <si>
    <t>2nd ring propose follow spool colour</t>
  </si>
  <si>
    <t>Gray / Silver</t>
  </si>
  <si>
    <t>Gray</t>
  </si>
  <si>
    <t>Red</t>
  </si>
  <si>
    <t>Pink</t>
  </si>
  <si>
    <t>No Color</t>
  </si>
  <si>
    <t>Wine Red</t>
  </si>
  <si>
    <t>Yellow</t>
  </si>
  <si>
    <t>Silver</t>
  </si>
  <si>
    <t>Light Brown</t>
  </si>
  <si>
    <t>Sky Blue</t>
  </si>
  <si>
    <t>White</t>
  </si>
  <si>
    <t>Light Blue</t>
  </si>
  <si>
    <t>Light Green</t>
  </si>
  <si>
    <t>Violet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</si>
</sst>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50">
    <font>
      <sz val="11"/>
      <color theme="1"/>
      <name val="Calibri"/>
      <family val="2"/>
      <scheme val="minor"/>
    </font>
    <font>
      <sz val="11"/>
      <color theme="1"/>
      <name val="Calibri"/>
      <family val="2"/>
      <scheme val="minor"/>
    </font>
    <font>
      <b/>
      <sz val="10"/>
      <name val="Arial"/>
      <family val="2"/>
    </font>
    <font>
      <sz val="10"/>
      <name val="Arial"/>
      <family val="2"/>
    </font>
    <font>
      <sz val="10"/>
      <color rgb="FF000000"/>
      <name val="Arial"/>
      <family val="2"/>
    </font>
    <font>
      <sz val="10"/>
      <color theme="1"/>
      <name val="Arial"/>
      <family val="2"/>
    </font>
    <font>
      <strike/>
      <sz val="10"/>
      <color rgb="FFFF0000"/>
      <name val="Arial"/>
      <family val="2"/>
    </font>
    <font>
      <sz val="10"/>
      <color indexed="10"/>
      <name val="Arial"/>
      <family val="2"/>
    </font>
    <font>
      <sz val="10"/>
      <color indexed="8"/>
      <name val="Arial"/>
      <family val="2"/>
    </font>
    <font>
      <sz val="8"/>
      <color rgb="FF1F497D"/>
      <name val="Verdana"/>
      <family val="2"/>
    </font>
    <font>
      <sz val="10"/>
      <color rgb="FFFF0000"/>
      <name val="Arial"/>
      <family val="2"/>
    </font>
    <font>
      <b/>
      <sz val="9"/>
      <color indexed="81"/>
      <name val="Tahoma"/>
      <family val="2"/>
    </font>
    <font>
      <sz val="9"/>
      <color indexed="81"/>
      <name val="Tahoma"/>
      <family val="2"/>
    </font>
    <font>
      <b/>
      <sz val="11"/>
      <color theme="1"/>
      <name val="Calibri"/>
      <family val="2"/>
      <scheme val="minor"/>
    </font>
    <font>
      <sz val="11"/>
      <color rgb="FF4B4B4A"/>
      <name val="Calibri"/>
      <family val="2"/>
      <scheme val="minor"/>
    </font>
    <font>
      <b/>
      <sz val="11"/>
      <color rgb="FF4B4B4A"/>
      <name val="Calibri"/>
      <family val="2"/>
      <scheme val="minor"/>
    </font>
    <font>
      <b/>
      <i/>
      <sz val="12"/>
      <color rgb="FF0000CC"/>
      <name val="Calibri"/>
      <family val="2"/>
      <scheme val="minor"/>
    </font>
    <font>
      <sz val="7"/>
      <color rgb="FF242424"/>
      <name val="Segoe UI"/>
      <family val="2"/>
    </font>
    <font>
      <sz val="7"/>
      <color rgb="FF616161"/>
      <name val="Segoe UI"/>
      <family val="2"/>
    </font>
    <font>
      <b/>
      <sz val="11"/>
      <color rgb="FFFF0000"/>
      <name val="Calibri"/>
      <family val="2"/>
      <scheme val="minor"/>
    </font>
    <font>
      <strike/>
      <sz val="11"/>
      <color rgb="FF4B4B4A"/>
      <name val="Calibri"/>
      <family val="2"/>
      <scheme val="minor"/>
    </font>
    <font>
      <b/>
      <sz val="11"/>
      <color rgb="FF0000CC"/>
      <name val="Calibri"/>
      <family val="2"/>
      <scheme val="minor"/>
    </font>
    <font>
      <b/>
      <sz val="11"/>
      <color rgb="FF9900FF"/>
      <name val="Calibri"/>
      <family val="2"/>
      <scheme val="minor"/>
    </font>
    <font>
      <b/>
      <strike/>
      <sz val="11"/>
      <color rgb="FF9900FF"/>
      <name val="Calibri"/>
      <family val="2"/>
      <scheme val="minor"/>
    </font>
    <font>
      <u/>
      <sz val="11"/>
      <color theme="10"/>
      <name val="Calibri"/>
      <family val="2"/>
      <scheme val="minor"/>
    </font>
    <font>
      <sz val="11"/>
      <color rgb="FF000000"/>
      <name val="Calibri"/>
      <family val="2"/>
    </font>
    <font>
      <sz val="9"/>
      <color theme="1"/>
      <name val="Calibri"/>
      <family val="2"/>
      <scheme val="minor"/>
    </font>
    <font>
      <sz val="9"/>
      <color rgb="FF000000"/>
      <name val="Arial"/>
      <family val="2"/>
    </font>
    <font>
      <sz val="9"/>
      <color theme="1"/>
      <name val="Arial"/>
      <family val="2"/>
    </font>
    <font>
      <b/>
      <u/>
      <sz val="11"/>
      <color theme="1"/>
      <name val="Calibri"/>
      <family val="2"/>
      <scheme val="minor"/>
    </font>
    <font>
      <sz val="11"/>
      <color rgb="FF000000"/>
      <name val="Calibri"/>
      <family val="2"/>
      <scheme val="minor"/>
    </font>
    <font>
      <sz val="10"/>
      <color rgb="FF000000"/>
      <name val="Arial"/>
      <charset val="1"/>
    </font>
    <font>
      <b/>
      <sz val="9"/>
      <color rgb="FF000000"/>
      <name val="Verdana"/>
      <family val="2"/>
      <charset val="1"/>
    </font>
    <font>
      <sz val="9"/>
      <color rgb="FF000000"/>
      <name val="Verdana"/>
      <family val="2"/>
      <charset val="1"/>
    </font>
    <font>
      <sz val="9"/>
      <color rgb="FFFF0000"/>
      <name val="Verdana"/>
      <family val="2"/>
      <charset val="1"/>
    </font>
    <font>
      <sz val="9"/>
      <color rgb="FF00B050"/>
      <name val="Verdana"/>
      <family val="2"/>
      <charset val="1"/>
    </font>
    <font>
      <sz val="9"/>
      <color rgb="FF00B050"/>
      <name val="Verdana"/>
    </font>
    <font>
      <b/>
      <sz val="9"/>
      <color rgb="FF00B050"/>
      <name val="Verdana"/>
    </font>
    <font>
      <sz val="11"/>
      <color theme="4"/>
      <name val="Calibri"/>
      <family val="2"/>
      <scheme val="minor"/>
    </font>
    <font>
      <b/>
      <sz val="11"/>
      <color rgb="FF00B050"/>
      <name val="Calibri"/>
      <family val="2"/>
      <scheme val="minor"/>
    </font>
    <font>
      <sz val="11"/>
      <color rgb="FF00B050"/>
      <name val="Calibri"/>
      <family val="2"/>
      <scheme val="minor"/>
    </font>
    <font>
      <b/>
      <sz val="11"/>
      <color theme="4"/>
      <name val="Calibri"/>
      <family val="2"/>
      <scheme val="minor"/>
    </font>
    <font>
      <sz val="11"/>
      <name val="Calibri"/>
      <family val="2"/>
      <scheme val="minor"/>
    </font>
    <font>
      <sz val="10"/>
      <color rgb="FFFF0000"/>
      <name val="Arial"/>
    </font>
    <font>
      <sz val="10"/>
      <color rgb="FF000000"/>
      <name val="Arial"/>
    </font>
    <font>
      <b/>
      <u/>
      <sz val="11"/>
      <color theme="1"/>
      <name val="Aptos"/>
      <family val="2"/>
      <charset val="1"/>
    </font>
    <font>
      <b/>
      <sz val="11"/>
      <color theme="1"/>
      <name val="Wingdings"/>
      <charset val="1"/>
    </font>
    <font>
      <b/>
      <sz val="11"/>
      <color theme="1"/>
      <name val="Aptos"/>
      <family val="2"/>
      <charset val="1"/>
    </font>
    <font>
      <sz val="11"/>
      <color theme="1"/>
      <name val="Aptos"/>
      <family val="2"/>
      <charset val="1"/>
    </font>
    <font>
      <sz val="11"/>
      <color rgb="FFFF0000"/>
      <name val="Calibri"/>
      <family val="2"/>
      <scheme val="minor"/>
    </font>
  </fonts>
  <fills count="2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rgb="FFDBE5F1"/>
        <bgColor rgb="FFFFFFFF"/>
      </patternFill>
    </fill>
    <fill>
      <patternFill patternType="solid">
        <fgColor rgb="FFEAF1F7"/>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00B050"/>
        <bgColor indexed="64"/>
      </patternFill>
    </fill>
    <fill>
      <patternFill patternType="solid">
        <fgColor theme="7" tint="0.39997558519241921"/>
        <bgColor indexed="64"/>
      </patternFill>
    </fill>
    <fill>
      <patternFill patternType="solid">
        <fgColor rgb="FF00B0F0"/>
        <bgColor indexed="64"/>
      </patternFill>
    </fill>
    <fill>
      <patternFill patternType="solid">
        <fgColor theme="0" tint="-0.14999847407452621"/>
        <bgColor indexed="64"/>
      </patternFill>
    </fill>
    <fill>
      <patternFill patternType="solid">
        <fgColor theme="5"/>
        <bgColor indexed="64"/>
      </patternFill>
    </fill>
    <fill>
      <patternFill patternType="solid">
        <fgColor theme="7"/>
        <bgColor indexed="64"/>
      </patternFill>
    </fill>
    <fill>
      <patternFill patternType="solid">
        <fgColor rgb="FF92D050"/>
        <bgColor indexed="64"/>
      </patternFill>
    </fill>
    <fill>
      <patternFill patternType="solid">
        <fgColor rgb="FFFFFFFF"/>
        <bgColor rgb="FF000000"/>
      </patternFill>
    </fill>
    <fill>
      <patternFill patternType="solid">
        <fgColor rgb="FFFFFFFF"/>
        <bgColor indexed="64"/>
      </patternFill>
    </fill>
    <fill>
      <patternFill patternType="solid">
        <fgColor theme="9"/>
        <bgColor indexed="64"/>
      </patternFill>
    </fill>
    <fill>
      <patternFill patternType="solid">
        <fgColor theme="0" tint="-0.249977111117893"/>
        <bgColor indexed="64"/>
      </patternFill>
    </fill>
    <fill>
      <patternFill patternType="solid">
        <fgColor theme="8" tint="0.79998168889431442"/>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ck">
        <color rgb="FF00B050"/>
      </left>
      <right style="thin">
        <color indexed="64"/>
      </right>
      <top style="thick">
        <color rgb="FF00B050"/>
      </top>
      <bottom style="thin">
        <color indexed="64"/>
      </bottom>
      <diagonal/>
    </border>
    <border>
      <left style="thin">
        <color indexed="64"/>
      </left>
      <right style="thin">
        <color indexed="64"/>
      </right>
      <top style="thick">
        <color rgb="FF00B050"/>
      </top>
      <bottom style="thin">
        <color indexed="64"/>
      </bottom>
      <diagonal/>
    </border>
    <border>
      <left style="thin">
        <color indexed="64"/>
      </left>
      <right/>
      <top style="thick">
        <color rgb="FF00B050"/>
      </top>
      <bottom style="thin">
        <color indexed="64"/>
      </bottom>
      <diagonal/>
    </border>
    <border>
      <left style="thin">
        <color indexed="64"/>
      </left>
      <right style="thick">
        <color rgb="FF00B050"/>
      </right>
      <top style="thick">
        <color rgb="FF00B050"/>
      </top>
      <bottom style="thin">
        <color indexed="64"/>
      </bottom>
      <diagonal/>
    </border>
    <border>
      <left/>
      <right style="thin">
        <color indexed="64"/>
      </right>
      <top style="thin">
        <color indexed="64"/>
      </top>
      <bottom style="thin">
        <color indexed="64"/>
      </bottom>
      <diagonal/>
    </border>
    <border>
      <left style="thick">
        <color rgb="FF00B050"/>
      </left>
      <right style="thin">
        <color indexed="64"/>
      </right>
      <top style="thin">
        <color indexed="64"/>
      </top>
      <bottom style="thin">
        <color indexed="64"/>
      </bottom>
      <diagonal/>
    </border>
    <border>
      <left style="thin">
        <color indexed="64"/>
      </left>
      <right style="thick">
        <color rgb="FF00B050"/>
      </right>
      <top style="thin">
        <color indexed="64"/>
      </top>
      <bottom style="thin">
        <color indexed="64"/>
      </bottom>
      <diagonal/>
    </border>
    <border>
      <left style="thick">
        <color rgb="FF00B050"/>
      </left>
      <right style="thin">
        <color indexed="64"/>
      </right>
      <top style="thin">
        <color indexed="64"/>
      </top>
      <bottom style="thick">
        <color rgb="FF00B050"/>
      </bottom>
      <diagonal/>
    </border>
    <border>
      <left style="thin">
        <color indexed="64"/>
      </left>
      <right style="thin">
        <color indexed="64"/>
      </right>
      <top style="thin">
        <color indexed="64"/>
      </top>
      <bottom style="thick">
        <color rgb="FF00B050"/>
      </bottom>
      <diagonal/>
    </border>
    <border>
      <left style="thin">
        <color indexed="64"/>
      </left>
      <right/>
      <top style="thin">
        <color indexed="64"/>
      </top>
      <bottom style="thick">
        <color rgb="FF00B050"/>
      </bottom>
      <diagonal/>
    </border>
    <border>
      <left style="thin">
        <color indexed="64"/>
      </left>
      <right style="thick">
        <color rgb="FF00B050"/>
      </right>
      <top style="thin">
        <color indexed="64"/>
      </top>
      <bottom style="thick">
        <color rgb="FF00B05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ck">
        <color rgb="FF00B050"/>
      </left>
      <right style="thin">
        <color indexed="64"/>
      </right>
      <top/>
      <bottom style="thick">
        <color rgb="FF00B050"/>
      </bottom>
      <diagonal/>
    </border>
    <border>
      <left style="thin">
        <color indexed="64"/>
      </left>
      <right style="thin">
        <color indexed="64"/>
      </right>
      <top/>
      <bottom style="thick">
        <color rgb="FF00B050"/>
      </bottom>
      <diagonal/>
    </border>
    <border>
      <left style="thin">
        <color indexed="64"/>
      </left>
      <right/>
      <top/>
      <bottom style="thick">
        <color rgb="FF00B050"/>
      </bottom>
      <diagonal/>
    </border>
    <border>
      <left style="thin">
        <color indexed="64"/>
      </left>
      <right style="thick">
        <color rgb="FF00B050"/>
      </right>
      <top/>
      <bottom style="thick">
        <color rgb="FF00B050"/>
      </bottom>
      <diagonal/>
    </border>
    <border>
      <left style="thick">
        <color rgb="FF00B050"/>
      </left>
      <right style="thin">
        <color indexed="64"/>
      </right>
      <top style="thick">
        <color rgb="FF00B050"/>
      </top>
      <bottom style="thick">
        <color rgb="FF00B050"/>
      </bottom>
      <diagonal/>
    </border>
    <border>
      <left style="thin">
        <color indexed="64"/>
      </left>
      <right style="thin">
        <color indexed="64"/>
      </right>
      <top style="thick">
        <color rgb="FF00B050"/>
      </top>
      <bottom style="thick">
        <color rgb="FF00B050"/>
      </bottom>
      <diagonal/>
    </border>
    <border>
      <left style="thin">
        <color indexed="64"/>
      </left>
      <right/>
      <top style="thick">
        <color rgb="FF00B050"/>
      </top>
      <bottom style="thick">
        <color rgb="FF00B050"/>
      </bottom>
      <diagonal/>
    </border>
    <border>
      <left style="thin">
        <color indexed="64"/>
      </left>
      <right style="thick">
        <color rgb="FF00B050"/>
      </right>
      <top style="thick">
        <color rgb="FF00B050"/>
      </top>
      <bottom style="thick">
        <color rgb="FF00B050"/>
      </bottom>
      <diagonal/>
    </border>
    <border>
      <left style="thin">
        <color indexed="64"/>
      </left>
      <right style="thin">
        <color indexed="64"/>
      </right>
      <top/>
      <bottom/>
      <diagonal/>
    </border>
    <border>
      <left style="thick">
        <color rgb="FFFF0000"/>
      </left>
      <right style="thin">
        <color indexed="64"/>
      </right>
      <top style="thick">
        <color rgb="FFFF0000"/>
      </top>
      <bottom style="thick">
        <color rgb="FFFF0000"/>
      </bottom>
      <diagonal/>
    </border>
    <border>
      <left style="thin">
        <color indexed="64"/>
      </left>
      <right style="thin">
        <color indexed="64"/>
      </right>
      <top style="thick">
        <color rgb="FFFF0000"/>
      </top>
      <bottom style="thick">
        <color rgb="FFFF0000"/>
      </bottom>
      <diagonal/>
    </border>
    <border>
      <left style="thin">
        <color indexed="64"/>
      </left>
      <right/>
      <top style="thick">
        <color rgb="FFFF0000"/>
      </top>
      <bottom style="thick">
        <color rgb="FFFF0000"/>
      </bottom>
      <diagonal/>
    </border>
    <border>
      <left style="thin">
        <color indexed="64"/>
      </left>
      <right style="thick">
        <color rgb="FFFF0000"/>
      </right>
      <top style="thick">
        <color rgb="FFFF0000"/>
      </top>
      <bottom style="thick">
        <color rgb="FFFF0000"/>
      </bottom>
      <diagonal/>
    </border>
    <border>
      <left style="thick">
        <color rgb="FF00B050"/>
      </left>
      <right style="thin">
        <color indexed="64"/>
      </right>
      <top/>
      <bottom style="thin">
        <color indexed="64"/>
      </bottom>
      <diagonal/>
    </border>
    <border>
      <left style="thin">
        <color indexed="64"/>
      </left>
      <right style="thick">
        <color rgb="FF00B050"/>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s>
  <cellStyleXfs count="5">
    <xf numFmtId="0" fontId="0" fillId="0" borderId="0"/>
    <xf numFmtId="0" fontId="1" fillId="0" borderId="0"/>
    <xf numFmtId="0" fontId="3" fillId="0" borderId="0"/>
    <xf numFmtId="165" fontId="9" fillId="5" borderId="2" applyNumberFormat="0" applyAlignment="0" applyProtection="0">
      <alignment horizontal="left" vertical="center" indent="1"/>
    </xf>
    <xf numFmtId="0" fontId="24" fillId="0" borderId="0" applyNumberFormat="0" applyFill="0" applyBorder="0" applyAlignment="0" applyProtection="0"/>
  </cellStyleXfs>
  <cellXfs count="279">
    <xf numFmtId="0" fontId="0" fillId="0" borderId="0" xfId="0"/>
    <xf numFmtId="0" fontId="2" fillId="2" borderId="1" xfId="0" applyFont="1" applyFill="1" applyBorder="1" applyAlignment="1" applyProtection="1">
      <alignment horizontal="center" vertical="center" wrapText="1"/>
      <protection locked="0"/>
    </xf>
    <xf numFmtId="0" fontId="2" fillId="2" borderId="1" xfId="1" applyFont="1" applyFill="1" applyBorder="1" applyAlignment="1" applyProtection="1">
      <alignment horizontal="center" vertical="center" wrapText="1"/>
      <protection locked="0"/>
    </xf>
    <xf numFmtId="0" fontId="2" fillId="2" borderId="1" xfId="2" applyFont="1" applyFill="1" applyBorder="1" applyAlignment="1" applyProtection="1">
      <alignment horizontal="center" vertical="center" wrapText="1"/>
      <protection locked="0"/>
    </xf>
    <xf numFmtId="0" fontId="3" fillId="3" borderId="1" xfId="2" applyFill="1" applyBorder="1" applyAlignment="1" applyProtection="1">
      <alignment horizontal="center" vertical="center"/>
      <protection locked="0"/>
    </xf>
    <xf numFmtId="0" fontId="4" fillId="3" borderId="1" xfId="0" applyFont="1" applyFill="1" applyBorder="1" applyAlignment="1" applyProtection="1">
      <alignment horizontal="center" vertical="center"/>
      <protection locked="0"/>
    </xf>
    <xf numFmtId="0" fontId="4" fillId="3" borderId="1" xfId="0" applyFont="1" applyFill="1" applyBorder="1" applyAlignment="1" applyProtection="1">
      <alignment horizontal="left" vertical="center" wrapText="1"/>
      <protection locked="0"/>
    </xf>
    <xf numFmtId="0" fontId="5" fillId="3" borderId="1" xfId="1" applyFont="1" applyFill="1" applyBorder="1" applyAlignment="1" applyProtection="1">
      <alignment horizontal="center" vertical="center"/>
      <protection locked="0"/>
    </xf>
    <xf numFmtId="0" fontId="4" fillId="3" borderId="1" xfId="2" applyFont="1" applyFill="1" applyBorder="1" applyAlignment="1" applyProtection="1">
      <alignment horizontal="center" vertical="center"/>
      <protection locked="0"/>
    </xf>
    <xf numFmtId="164" fontId="4" fillId="3" borderId="1" xfId="0" applyNumberFormat="1" applyFont="1" applyFill="1" applyBorder="1" applyAlignment="1" applyProtection="1">
      <alignment horizontal="center" vertical="center"/>
      <protection locked="0"/>
    </xf>
    <xf numFmtId="0" fontId="3" fillId="4" borderId="1" xfId="2" applyFill="1" applyBorder="1" applyAlignment="1" applyProtection="1">
      <alignment horizontal="center" vertical="center"/>
      <protection locked="0"/>
    </xf>
    <xf numFmtId="0" fontId="5" fillId="3" borderId="1" xfId="0" applyFont="1" applyFill="1" applyBorder="1" applyAlignment="1" applyProtection="1">
      <alignment horizontal="left" vertical="center" wrapText="1"/>
      <protection locked="0"/>
    </xf>
    <xf numFmtId="0" fontId="3" fillId="3" borderId="1" xfId="0" applyFont="1" applyFill="1" applyBorder="1" applyAlignment="1" applyProtection="1">
      <alignment horizontal="center" vertical="center"/>
      <protection locked="0"/>
    </xf>
    <xf numFmtId="0" fontId="6" fillId="3" borderId="1" xfId="2" applyFont="1" applyFill="1" applyBorder="1" applyAlignment="1" applyProtection="1">
      <alignment horizontal="center" vertical="center"/>
      <protection locked="0"/>
    </xf>
    <xf numFmtId="0" fontId="6" fillId="3" borderId="1" xfId="0" applyFont="1" applyFill="1" applyBorder="1" applyAlignment="1" applyProtection="1">
      <alignment horizontal="center" vertical="center"/>
      <protection locked="0"/>
    </xf>
    <xf numFmtId="0" fontId="6" fillId="3" borderId="1" xfId="0" applyFont="1" applyFill="1" applyBorder="1" applyAlignment="1" applyProtection="1">
      <alignment horizontal="left" vertical="center" wrapText="1"/>
      <protection locked="0"/>
    </xf>
    <xf numFmtId="164" fontId="6" fillId="3" borderId="1" xfId="0" applyNumberFormat="1" applyFont="1" applyFill="1" applyBorder="1" applyAlignment="1" applyProtection="1">
      <alignment horizontal="center" vertical="center"/>
      <protection locked="0"/>
    </xf>
    <xf numFmtId="0" fontId="0" fillId="3" borderId="1" xfId="0" applyFill="1" applyBorder="1" applyAlignment="1" applyProtection="1">
      <alignment horizontal="left" vertical="center" wrapText="1"/>
      <protection locked="0"/>
    </xf>
    <xf numFmtId="0" fontId="0" fillId="3" borderId="1" xfId="0" applyFill="1" applyBorder="1" applyAlignment="1" applyProtection="1">
      <alignment horizontal="center" vertical="center"/>
      <protection locked="0"/>
    </xf>
    <xf numFmtId="0" fontId="3" fillId="3" borderId="1" xfId="0" applyFont="1" applyFill="1" applyBorder="1" applyAlignment="1" applyProtection="1">
      <alignment horizontal="left" vertical="center" wrapText="1"/>
      <protection locked="0"/>
    </xf>
    <xf numFmtId="164" fontId="3" fillId="3" borderId="1" xfId="0" applyNumberFormat="1" applyFont="1" applyFill="1" applyBorder="1" applyAlignment="1" applyProtection="1">
      <alignment horizontal="center" vertical="center"/>
      <protection locked="0"/>
    </xf>
    <xf numFmtId="0" fontId="5" fillId="3" borderId="1" xfId="3" quotePrefix="1" applyNumberFormat="1" applyFont="1" applyFill="1" applyBorder="1" applyAlignment="1" applyProtection="1">
      <alignment horizontal="center" vertical="center"/>
      <protection locked="0"/>
    </xf>
    <xf numFmtId="0" fontId="5" fillId="3" borderId="1" xfId="1" applyFont="1" applyFill="1" applyBorder="1" applyAlignment="1" applyProtection="1">
      <alignment vertical="center"/>
      <protection locked="0"/>
    </xf>
    <xf numFmtId="0" fontId="0" fillId="3" borderId="1" xfId="1" applyFont="1" applyFill="1" applyBorder="1" applyAlignment="1" applyProtection="1">
      <alignment horizontal="left" vertical="center" wrapText="1"/>
      <protection locked="0"/>
    </xf>
    <xf numFmtId="0" fontId="0" fillId="3" borderId="1" xfId="1" applyFont="1" applyFill="1" applyBorder="1" applyAlignment="1" applyProtection="1">
      <alignment horizontal="center" vertical="center"/>
      <protection locked="0"/>
    </xf>
    <xf numFmtId="0" fontId="0" fillId="3" borderId="1" xfId="3" quotePrefix="1" applyNumberFormat="1" applyFont="1" applyFill="1" applyBorder="1" applyAlignment="1" applyProtection="1">
      <alignment horizontal="center" vertical="center" wrapText="1"/>
      <protection locked="0"/>
    </xf>
    <xf numFmtId="0" fontId="5" fillId="3" borderId="1" xfId="1" applyFont="1" applyFill="1" applyBorder="1" applyAlignment="1" applyProtection="1">
      <alignment horizontal="left" vertical="center" wrapText="1"/>
      <protection locked="0"/>
    </xf>
    <xf numFmtId="164" fontId="3" fillId="0" borderId="1" xfId="0" applyNumberFormat="1" applyFont="1" applyBorder="1" applyAlignment="1" applyProtection="1">
      <alignment horizontal="center" vertical="center"/>
      <protection locked="0"/>
    </xf>
    <xf numFmtId="0" fontId="0" fillId="0" borderId="1" xfId="0" applyBorder="1" applyAlignment="1">
      <alignment horizontal="left" vertical="top" wrapText="1"/>
    </xf>
    <xf numFmtId="0" fontId="14" fillId="6" borderId="3" xfId="0" applyFont="1" applyFill="1" applyBorder="1" applyAlignment="1">
      <alignment vertical="top" wrapText="1" readingOrder="1"/>
    </xf>
    <xf numFmtId="0" fontId="14" fillId="6" borderId="4" xfId="0" applyFont="1" applyFill="1" applyBorder="1" applyAlignment="1">
      <alignment vertical="top" wrapText="1" readingOrder="1"/>
    </xf>
    <xf numFmtId="0" fontId="14" fillId="6" borderId="1" xfId="0" applyFont="1" applyFill="1" applyBorder="1" applyAlignment="1">
      <alignment vertical="top" wrapText="1" readingOrder="1"/>
    </xf>
    <xf numFmtId="0" fontId="0" fillId="0" borderId="0" xfId="0" applyAlignment="1">
      <alignment vertical="top" wrapText="1"/>
    </xf>
    <xf numFmtId="0" fontId="13" fillId="7" borderId="5" xfId="0" applyFont="1" applyFill="1" applyBorder="1" applyAlignment="1">
      <alignment horizontal="left" vertical="top"/>
    </xf>
    <xf numFmtId="0" fontId="15" fillId="7" borderId="6" xfId="0" applyFont="1" applyFill="1" applyBorder="1" applyAlignment="1">
      <alignment vertical="top" wrapText="1" readingOrder="1"/>
    </xf>
    <xf numFmtId="0" fontId="15" fillId="7" borderId="7" xfId="0" applyFont="1" applyFill="1" applyBorder="1" applyAlignment="1">
      <alignment vertical="top" wrapText="1" readingOrder="1"/>
    </xf>
    <xf numFmtId="0" fontId="15" fillId="7" borderId="8" xfId="0" applyFont="1" applyFill="1" applyBorder="1" applyAlignment="1">
      <alignment vertical="top" wrapText="1" readingOrder="1"/>
    </xf>
    <xf numFmtId="0" fontId="15" fillId="7" borderId="9" xfId="0" applyFont="1" applyFill="1" applyBorder="1" applyAlignment="1">
      <alignment vertical="top" wrapText="1" readingOrder="1"/>
    </xf>
    <xf numFmtId="0" fontId="15" fillId="7" borderId="10" xfId="0" applyFont="1" applyFill="1" applyBorder="1" applyAlignment="1">
      <alignment vertical="top" wrapText="1" readingOrder="1"/>
    </xf>
    <xf numFmtId="0" fontId="0" fillId="0" borderId="0" xfId="0" applyAlignment="1">
      <alignment vertical="top"/>
    </xf>
    <xf numFmtId="0" fontId="15" fillId="7" borderId="11" xfId="0" applyFont="1" applyFill="1" applyBorder="1" applyAlignment="1">
      <alignment vertical="top" wrapText="1" readingOrder="1"/>
    </xf>
    <xf numFmtId="0" fontId="15" fillId="7" borderId="1" xfId="0" applyFont="1" applyFill="1" applyBorder="1" applyAlignment="1">
      <alignment vertical="top" wrapText="1" readingOrder="1"/>
    </xf>
    <xf numFmtId="0" fontId="15" fillId="7" borderId="5" xfId="0" applyFont="1" applyFill="1" applyBorder="1" applyAlignment="1">
      <alignment vertical="top" wrapText="1" readingOrder="1"/>
    </xf>
    <xf numFmtId="0" fontId="15" fillId="7" borderId="12" xfId="0" applyFont="1" applyFill="1" applyBorder="1" applyAlignment="1">
      <alignment vertical="top" wrapText="1" readingOrder="1"/>
    </xf>
    <xf numFmtId="0" fontId="0" fillId="0" borderId="0" xfId="0" applyAlignment="1">
      <alignment horizontal="left" vertical="center" indent="1"/>
    </xf>
    <xf numFmtId="0" fontId="15" fillId="7" borderId="13" xfId="0" applyFont="1" applyFill="1" applyBorder="1" applyAlignment="1">
      <alignment vertical="top" wrapText="1" readingOrder="1"/>
    </xf>
    <xf numFmtId="0" fontId="16" fillId="7" borderId="14" xfId="0" applyFont="1" applyFill="1" applyBorder="1" applyAlignment="1">
      <alignment vertical="top" wrapText="1" readingOrder="1"/>
    </xf>
    <xf numFmtId="0" fontId="15" fillId="7" borderId="14" xfId="0" applyFont="1" applyFill="1" applyBorder="1" applyAlignment="1">
      <alignment vertical="top" wrapText="1" readingOrder="1"/>
    </xf>
    <xf numFmtId="0" fontId="15" fillId="7" borderId="15" xfId="0" applyFont="1" applyFill="1" applyBorder="1" applyAlignment="1">
      <alignment vertical="top" wrapText="1" readingOrder="1"/>
    </xf>
    <xf numFmtId="0" fontId="15" fillId="7" borderId="16" xfId="0" applyFont="1" applyFill="1" applyBorder="1" applyAlignment="1">
      <alignment vertical="top" wrapText="1" readingOrder="1"/>
    </xf>
    <xf numFmtId="0" fontId="17" fillId="0" borderId="0" xfId="0" applyFont="1" applyAlignment="1">
      <alignment horizontal="left" vertical="center" indent="1"/>
    </xf>
    <xf numFmtId="0" fontId="0" fillId="7" borderId="1" xfId="0" applyFill="1" applyBorder="1" applyAlignment="1">
      <alignment horizontal="left" vertical="top"/>
    </xf>
    <xf numFmtId="0" fontId="14" fillId="7" borderId="17" xfId="0" applyFont="1" applyFill="1" applyBorder="1" applyAlignment="1">
      <alignment vertical="top" wrapText="1" readingOrder="1"/>
    </xf>
    <xf numFmtId="0" fontId="14" fillId="7" borderId="18" xfId="0" applyFont="1" applyFill="1" applyBorder="1" applyAlignment="1">
      <alignment vertical="top" wrapText="1" readingOrder="1"/>
    </xf>
    <xf numFmtId="0" fontId="14" fillId="7" borderId="1" xfId="0" applyFont="1" applyFill="1" applyBorder="1" applyAlignment="1">
      <alignment vertical="top" wrapText="1" readingOrder="1"/>
    </xf>
    <xf numFmtId="0" fontId="18" fillId="0" borderId="0" xfId="0" applyFont="1" applyAlignment="1">
      <alignment horizontal="left" vertical="center" indent="1"/>
    </xf>
    <xf numFmtId="0" fontId="14" fillId="7" borderId="3" xfId="0" applyFont="1" applyFill="1" applyBorder="1" applyAlignment="1">
      <alignment vertical="top" wrapText="1" readingOrder="1"/>
    </xf>
    <xf numFmtId="0" fontId="14" fillId="7" borderId="4" xfId="0" applyFont="1" applyFill="1" applyBorder="1" applyAlignment="1">
      <alignment vertical="top" wrapText="1" readingOrder="1"/>
    </xf>
    <xf numFmtId="0" fontId="0" fillId="8" borderId="5" xfId="0" applyFill="1" applyBorder="1" applyAlignment="1">
      <alignment horizontal="left" vertical="top"/>
    </xf>
    <xf numFmtId="0" fontId="14" fillId="8" borderId="6" xfId="0" applyFont="1" applyFill="1" applyBorder="1" applyAlignment="1">
      <alignment vertical="top" wrapText="1" readingOrder="1"/>
    </xf>
    <xf numFmtId="0" fontId="14" fillId="8" borderId="7" xfId="0" applyFont="1" applyFill="1" applyBorder="1" applyAlignment="1">
      <alignment vertical="top" wrapText="1" readingOrder="1"/>
    </xf>
    <xf numFmtId="0" fontId="14" fillId="8" borderId="8" xfId="0" applyFont="1" applyFill="1" applyBorder="1" applyAlignment="1">
      <alignment vertical="top" wrapText="1" readingOrder="1"/>
    </xf>
    <xf numFmtId="0" fontId="14" fillId="8" borderId="9" xfId="0" applyFont="1" applyFill="1" applyBorder="1" applyAlignment="1">
      <alignment vertical="top" wrapText="1" readingOrder="1"/>
    </xf>
    <xf numFmtId="0" fontId="14" fillId="8" borderId="10" xfId="0" applyFont="1" applyFill="1" applyBorder="1" applyAlignment="1">
      <alignment vertical="top" wrapText="1" readingOrder="1"/>
    </xf>
    <xf numFmtId="0" fontId="19" fillId="8" borderId="5" xfId="0" applyFont="1" applyFill="1" applyBorder="1" applyAlignment="1">
      <alignment horizontal="left" vertical="top"/>
    </xf>
    <xf numFmtId="0" fontId="19" fillId="8" borderId="19" xfId="0" applyFont="1" applyFill="1" applyBorder="1" applyAlignment="1">
      <alignment vertical="top" wrapText="1" readingOrder="1"/>
    </xf>
    <xf numFmtId="0" fontId="19" fillId="8" borderId="20" xfId="0" applyFont="1" applyFill="1" applyBorder="1" applyAlignment="1">
      <alignment vertical="top" wrapText="1" readingOrder="1"/>
    </xf>
    <xf numFmtId="0" fontId="19" fillId="8" borderId="21" xfId="0" applyFont="1" applyFill="1" applyBorder="1" applyAlignment="1">
      <alignment vertical="top" wrapText="1" readingOrder="1"/>
    </xf>
    <xf numFmtId="0" fontId="19" fillId="8" borderId="22" xfId="0" applyFont="1" applyFill="1" applyBorder="1" applyAlignment="1">
      <alignment vertical="top" wrapText="1" readingOrder="1"/>
    </xf>
    <xf numFmtId="0" fontId="19" fillId="8" borderId="10" xfId="0" applyFont="1" applyFill="1" applyBorder="1" applyAlignment="1">
      <alignment vertical="top" wrapText="1" readingOrder="1"/>
    </xf>
    <xf numFmtId="0" fontId="19" fillId="8" borderId="23" xfId="0" applyFont="1" applyFill="1" applyBorder="1" applyAlignment="1">
      <alignment vertical="top" wrapText="1" readingOrder="1"/>
    </xf>
    <xf numFmtId="0" fontId="19" fillId="8" borderId="24" xfId="0" applyFont="1" applyFill="1" applyBorder="1" applyAlignment="1">
      <alignment vertical="top" wrapText="1" readingOrder="1"/>
    </xf>
    <xf numFmtId="0" fontId="19" fillId="8" borderId="25" xfId="0" applyFont="1" applyFill="1" applyBorder="1" applyAlignment="1">
      <alignment vertical="top" wrapText="1" readingOrder="1"/>
    </xf>
    <xf numFmtId="0" fontId="19" fillId="8" borderId="26" xfId="0" applyFont="1" applyFill="1" applyBorder="1" applyAlignment="1">
      <alignment vertical="top" wrapText="1" readingOrder="1"/>
    </xf>
    <xf numFmtId="0" fontId="0" fillId="8" borderId="1" xfId="0" applyFill="1" applyBorder="1" applyAlignment="1">
      <alignment horizontal="left" vertical="top"/>
    </xf>
    <xf numFmtId="0" fontId="14" fillId="8" borderId="17" xfId="0" applyFont="1" applyFill="1" applyBorder="1" applyAlignment="1">
      <alignment vertical="top" wrapText="1" readingOrder="1"/>
    </xf>
    <xf numFmtId="0" fontId="14" fillId="8" borderId="27" xfId="0" applyFont="1" applyFill="1" applyBorder="1" applyAlignment="1">
      <alignment vertical="top" wrapText="1" readingOrder="1"/>
    </xf>
    <xf numFmtId="0" fontId="14" fillId="8" borderId="18" xfId="0" applyFont="1" applyFill="1" applyBorder="1" applyAlignment="1">
      <alignment vertical="top" wrapText="1" readingOrder="1"/>
    </xf>
    <xf numFmtId="0" fontId="14" fillId="8" borderId="1" xfId="0" applyFont="1" applyFill="1" applyBorder="1" applyAlignment="1">
      <alignment vertical="top" wrapText="1" readingOrder="1"/>
    </xf>
    <xf numFmtId="0" fontId="14" fillId="8" borderId="3" xfId="0" applyFont="1" applyFill="1" applyBorder="1" applyAlignment="1">
      <alignment vertical="top" wrapText="1" readingOrder="1"/>
    </xf>
    <xf numFmtId="0" fontId="14" fillId="8" borderId="5" xfId="0" applyFont="1" applyFill="1" applyBorder="1" applyAlignment="1">
      <alignment vertical="top" wrapText="1" readingOrder="1"/>
    </xf>
    <xf numFmtId="0" fontId="14" fillId="8" borderId="4" xfId="0" applyFont="1" applyFill="1" applyBorder="1" applyAlignment="1">
      <alignment vertical="top" wrapText="1" readingOrder="1"/>
    </xf>
    <xf numFmtId="0" fontId="0" fillId="9" borderId="5" xfId="0" applyFill="1" applyBorder="1" applyAlignment="1">
      <alignment horizontal="left" vertical="top"/>
    </xf>
    <xf numFmtId="0" fontId="14" fillId="9" borderId="28" xfId="0" applyFont="1" applyFill="1" applyBorder="1" applyAlignment="1">
      <alignment vertical="top" wrapText="1" readingOrder="1"/>
    </xf>
    <xf numFmtId="0" fontId="14" fillId="9" borderId="29" xfId="0" applyFont="1" applyFill="1" applyBorder="1" applyAlignment="1">
      <alignment vertical="top" wrapText="1" readingOrder="1"/>
    </xf>
    <xf numFmtId="0" fontId="14" fillId="9" borderId="30" xfId="0" applyFont="1" applyFill="1" applyBorder="1" applyAlignment="1">
      <alignment vertical="top" wrapText="1" readingOrder="1"/>
    </xf>
    <xf numFmtId="0" fontId="14" fillId="9" borderId="31" xfId="0" applyFont="1" applyFill="1" applyBorder="1" applyAlignment="1">
      <alignment vertical="top" wrapText="1" readingOrder="1"/>
    </xf>
    <xf numFmtId="0" fontId="14" fillId="9" borderId="10" xfId="0" applyFont="1" applyFill="1" applyBorder="1" applyAlignment="1">
      <alignment vertical="top" wrapText="1" readingOrder="1"/>
    </xf>
    <xf numFmtId="0" fontId="21" fillId="9" borderId="5" xfId="0" applyFont="1" applyFill="1" applyBorder="1" applyAlignment="1">
      <alignment horizontal="left" vertical="top"/>
    </xf>
    <xf numFmtId="0" fontId="21" fillId="9" borderId="32" xfId="0" applyFont="1" applyFill="1" applyBorder="1" applyAlignment="1">
      <alignment vertical="top" wrapText="1" readingOrder="1"/>
    </xf>
    <xf numFmtId="0" fontId="21" fillId="9" borderId="17" xfId="0" applyFont="1" applyFill="1" applyBorder="1" applyAlignment="1">
      <alignment vertical="top" wrapText="1" readingOrder="1"/>
    </xf>
    <xf numFmtId="0" fontId="21" fillId="9" borderId="18" xfId="0" applyFont="1" applyFill="1" applyBorder="1" applyAlignment="1">
      <alignment vertical="top" wrapText="1" readingOrder="1"/>
    </xf>
    <xf numFmtId="0" fontId="21" fillId="9" borderId="33" xfId="0" applyFont="1" applyFill="1" applyBorder="1" applyAlignment="1">
      <alignment vertical="top" wrapText="1" readingOrder="1"/>
    </xf>
    <xf numFmtId="0" fontId="21" fillId="9" borderId="10" xfId="0" applyFont="1" applyFill="1" applyBorder="1" applyAlignment="1">
      <alignment vertical="top" wrapText="1" readingOrder="1"/>
    </xf>
    <xf numFmtId="0" fontId="21" fillId="9" borderId="13" xfId="0" applyFont="1" applyFill="1" applyBorder="1" applyAlignment="1">
      <alignment vertical="top" wrapText="1" readingOrder="1"/>
    </xf>
    <xf numFmtId="0" fontId="21" fillId="9" borderId="14" xfId="0" applyFont="1" applyFill="1" applyBorder="1" applyAlignment="1">
      <alignment vertical="top" wrapText="1" readingOrder="1"/>
    </xf>
    <xf numFmtId="0" fontId="21" fillId="9" borderId="14" xfId="0" applyFont="1" applyFill="1" applyBorder="1" applyAlignment="1">
      <alignment vertical="top" readingOrder="1"/>
    </xf>
    <xf numFmtId="0" fontId="21" fillId="9" borderId="15" xfId="0" applyFont="1" applyFill="1" applyBorder="1" applyAlignment="1">
      <alignment vertical="top" wrapText="1" readingOrder="1"/>
    </xf>
    <xf numFmtId="0" fontId="21" fillId="9" borderId="16" xfId="0" applyFont="1" applyFill="1" applyBorder="1" applyAlignment="1">
      <alignment vertical="top" wrapText="1" readingOrder="1"/>
    </xf>
    <xf numFmtId="0" fontId="0" fillId="9" borderId="1" xfId="0" applyFill="1" applyBorder="1" applyAlignment="1">
      <alignment horizontal="left" vertical="top"/>
    </xf>
    <xf numFmtId="0" fontId="14" fillId="9" borderId="17" xfId="0" applyFont="1" applyFill="1" applyBorder="1" applyAlignment="1">
      <alignment vertical="top" wrapText="1" readingOrder="1"/>
    </xf>
    <xf numFmtId="0" fontId="14" fillId="9" borderId="18" xfId="0" applyFont="1" applyFill="1" applyBorder="1" applyAlignment="1">
      <alignment vertical="top" wrapText="1" readingOrder="1"/>
    </xf>
    <xf numFmtId="0" fontId="14" fillId="9" borderId="1" xfId="0" applyFont="1" applyFill="1" applyBorder="1" applyAlignment="1">
      <alignment vertical="top" wrapText="1" readingOrder="1"/>
    </xf>
    <xf numFmtId="0" fontId="0" fillId="0" borderId="1" xfId="0" applyBorder="1" applyAlignment="1">
      <alignment horizontal="left" vertical="top"/>
    </xf>
    <xf numFmtId="0" fontId="22" fillId="10" borderId="5" xfId="0" applyFont="1" applyFill="1" applyBorder="1" applyAlignment="1">
      <alignment horizontal="left" vertical="top"/>
    </xf>
    <xf numFmtId="0" fontId="22" fillId="10" borderId="6" xfId="0" applyFont="1" applyFill="1" applyBorder="1" applyAlignment="1">
      <alignment vertical="top" wrapText="1" readingOrder="1"/>
    </xf>
    <xf numFmtId="0" fontId="22" fillId="10" borderId="7" xfId="0" applyFont="1" applyFill="1" applyBorder="1" applyAlignment="1">
      <alignment vertical="top" wrapText="1" readingOrder="1"/>
    </xf>
    <xf numFmtId="0" fontId="22" fillId="10" borderId="8" xfId="0" applyFont="1" applyFill="1" applyBorder="1" applyAlignment="1">
      <alignment vertical="top" wrapText="1" readingOrder="1"/>
    </xf>
    <xf numFmtId="0" fontId="22" fillId="10" borderId="9" xfId="0" applyFont="1" applyFill="1" applyBorder="1" applyAlignment="1">
      <alignment vertical="top" wrapText="1" readingOrder="1"/>
    </xf>
    <xf numFmtId="0" fontId="22" fillId="10" borderId="10" xfId="0" applyFont="1" applyFill="1" applyBorder="1" applyAlignment="1">
      <alignment vertical="top" wrapText="1" readingOrder="1"/>
    </xf>
    <xf numFmtId="0" fontId="22" fillId="10" borderId="13" xfId="0" applyFont="1" applyFill="1" applyBorder="1" applyAlignment="1">
      <alignment vertical="top" wrapText="1" readingOrder="1"/>
    </xf>
    <xf numFmtId="0" fontId="22" fillId="10" borderId="14" xfId="0" applyFont="1" applyFill="1" applyBorder="1" applyAlignment="1">
      <alignment vertical="top" wrapText="1" readingOrder="1"/>
    </xf>
    <xf numFmtId="0" fontId="22" fillId="10" borderId="15" xfId="0" applyFont="1" applyFill="1" applyBorder="1" applyAlignment="1">
      <alignment vertical="top" wrapText="1" readingOrder="1"/>
    </xf>
    <xf numFmtId="0" fontId="22" fillId="10" borderId="16" xfId="0" applyFont="1" applyFill="1" applyBorder="1" applyAlignment="1">
      <alignment vertical="top" wrapText="1" readingOrder="1"/>
    </xf>
    <xf numFmtId="0" fontId="0" fillId="10" borderId="1" xfId="0" applyFill="1" applyBorder="1" applyAlignment="1">
      <alignment horizontal="left" vertical="top"/>
    </xf>
    <xf numFmtId="0" fontId="14" fillId="10" borderId="17" xfId="0" applyFont="1" applyFill="1" applyBorder="1" applyAlignment="1">
      <alignment vertical="top" wrapText="1" readingOrder="1"/>
    </xf>
    <xf numFmtId="0" fontId="14" fillId="10" borderId="18" xfId="0" applyFont="1" applyFill="1" applyBorder="1" applyAlignment="1">
      <alignment vertical="top" wrapText="1" readingOrder="1"/>
    </xf>
    <xf numFmtId="0" fontId="14" fillId="10" borderId="1" xfId="0" applyFont="1" applyFill="1" applyBorder="1" applyAlignment="1">
      <alignment vertical="top" wrapText="1" readingOrder="1"/>
    </xf>
    <xf numFmtId="0" fontId="0" fillId="0" borderId="0" xfId="0" applyAlignment="1">
      <alignment horizontal="left" vertical="top"/>
    </xf>
    <xf numFmtId="0" fontId="13" fillId="0" borderId="0" xfId="0" applyFont="1" applyAlignment="1">
      <alignment vertical="top"/>
    </xf>
    <xf numFmtId="0" fontId="24" fillId="0" borderId="0" xfId="4"/>
    <xf numFmtId="0" fontId="0" fillId="11" borderId="0" xfId="0" applyFill="1"/>
    <xf numFmtId="0" fontId="0" fillId="12" borderId="0" xfId="0" applyFill="1"/>
    <xf numFmtId="0" fontId="0" fillId="13" borderId="0" xfId="0" applyFill="1"/>
    <xf numFmtId="164" fontId="4" fillId="3" borderId="0" xfId="0" applyNumberFormat="1" applyFont="1" applyFill="1" applyAlignment="1" applyProtection="1">
      <alignment horizontal="center" vertical="center"/>
      <protection locked="0"/>
    </xf>
    <xf numFmtId="0" fontId="0" fillId="0" borderId="0" xfId="0" applyAlignment="1">
      <alignment horizontal="center"/>
    </xf>
    <xf numFmtId="16" fontId="0" fillId="0" borderId="0" xfId="0" applyNumberFormat="1" applyAlignment="1">
      <alignment horizontal="center"/>
    </xf>
    <xf numFmtId="0" fontId="3" fillId="3" borderId="0" xfId="0" applyFont="1" applyFill="1" applyAlignment="1" applyProtection="1">
      <alignment horizontal="center" vertical="center"/>
      <protection locked="0"/>
    </xf>
    <xf numFmtId="0" fontId="4" fillId="3" borderId="0" xfId="0" applyFont="1" applyFill="1" applyAlignment="1" applyProtection="1">
      <alignment horizontal="center" vertical="center"/>
      <protection locked="0"/>
    </xf>
    <xf numFmtId="0" fontId="26" fillId="0" borderId="0" xfId="0" applyFont="1" applyAlignment="1">
      <alignment horizontal="center"/>
    </xf>
    <xf numFmtId="0" fontId="26" fillId="0" borderId="0" xfId="0" applyFont="1"/>
    <xf numFmtId="164" fontId="4" fillId="0" borderId="1" xfId="0" applyNumberFormat="1"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5" fillId="0" borderId="1" xfId="1"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0" fontId="0" fillId="0" borderId="1" xfId="0" applyBorder="1" applyAlignment="1">
      <alignment horizontal="center"/>
    </xf>
    <xf numFmtId="0" fontId="0" fillId="14" borderId="1" xfId="0" applyFill="1" applyBorder="1" applyAlignment="1">
      <alignment horizontal="center"/>
    </xf>
    <xf numFmtId="0" fontId="0" fillId="14" borderId="1" xfId="0" applyFill="1" applyBorder="1"/>
    <xf numFmtId="0" fontId="0" fillId="0" borderId="1" xfId="1" applyFont="1" applyBorder="1" applyAlignment="1" applyProtection="1">
      <alignment horizontal="center" vertical="center"/>
      <protection locked="0"/>
    </xf>
    <xf numFmtId="164" fontId="4" fillId="13" borderId="1" xfId="0" applyNumberFormat="1" applyFont="1" applyFill="1" applyBorder="1" applyAlignment="1" applyProtection="1">
      <alignment horizontal="center" vertical="center"/>
      <protection locked="0"/>
    </xf>
    <xf numFmtId="0" fontId="5" fillId="0" borderId="1" xfId="1" applyFont="1" applyBorder="1" applyAlignment="1" applyProtection="1">
      <alignment vertical="center"/>
      <protection locked="0"/>
    </xf>
    <xf numFmtId="164" fontId="3" fillId="13" borderId="1" xfId="0" applyNumberFormat="1" applyFont="1" applyFill="1" applyBorder="1" applyAlignment="1" applyProtection="1">
      <alignment horizontal="center" vertical="center"/>
      <protection locked="0"/>
    </xf>
    <xf numFmtId="0" fontId="3" fillId="0" borderId="1" xfId="2" applyBorder="1" applyAlignment="1" applyProtection="1">
      <alignment horizontal="center" vertical="center"/>
      <protection locked="0"/>
    </xf>
    <xf numFmtId="0" fontId="0" fillId="0" borderId="1" xfId="0" applyBorder="1"/>
    <xf numFmtId="0" fontId="28" fillId="13" borderId="1" xfId="1" applyFont="1" applyFill="1" applyBorder="1" applyAlignment="1" applyProtection="1">
      <alignment horizontal="center" vertical="center"/>
      <protection locked="0"/>
    </xf>
    <xf numFmtId="0" fontId="27" fillId="3" borderId="1" xfId="0" applyFont="1" applyFill="1" applyBorder="1" applyAlignment="1" applyProtection="1">
      <alignment horizontal="center" vertical="center"/>
      <protection locked="0"/>
    </xf>
    <xf numFmtId="164" fontId="3" fillId="15" borderId="1" xfId="0" applyNumberFormat="1" applyFont="1" applyFill="1" applyBorder="1" applyAlignment="1" applyProtection="1">
      <alignment horizontal="center" vertical="center"/>
      <protection locked="0"/>
    </xf>
    <xf numFmtId="164" fontId="4" fillId="16" borderId="1" xfId="0" applyNumberFormat="1" applyFont="1" applyFill="1" applyBorder="1" applyAlignment="1" applyProtection="1">
      <alignment horizontal="center" vertical="center"/>
      <protection locked="0"/>
    </xf>
    <xf numFmtId="164" fontId="4" fillId="3" borderId="0" xfId="0" quotePrefix="1" applyNumberFormat="1" applyFont="1" applyFill="1" applyAlignment="1" applyProtection="1">
      <alignment horizontal="center" vertical="center"/>
      <protection locked="0"/>
    </xf>
    <xf numFmtId="0" fontId="4" fillId="13" borderId="1" xfId="0" applyFont="1" applyFill="1" applyBorder="1" applyAlignment="1" applyProtection="1">
      <alignment horizontal="center" vertical="center"/>
      <protection locked="0"/>
    </xf>
    <xf numFmtId="164" fontId="3" fillId="3" borderId="5" xfId="0" applyNumberFormat="1" applyFont="1" applyFill="1" applyBorder="1" applyAlignment="1" applyProtection="1">
      <alignment horizontal="center" vertical="center"/>
      <protection locked="0"/>
    </xf>
    <xf numFmtId="0" fontId="0" fillId="14" borderId="5" xfId="0" applyFill="1" applyBorder="1" applyAlignment="1">
      <alignment horizontal="center"/>
    </xf>
    <xf numFmtId="164" fontId="3" fillId="3" borderId="5" xfId="0" applyNumberFormat="1" applyFont="1" applyFill="1" applyBorder="1" applyAlignment="1" applyProtection="1">
      <alignment horizontal="left" vertical="center" wrapText="1"/>
      <protection locked="0"/>
    </xf>
    <xf numFmtId="164" fontId="3" fillId="3" borderId="1" xfId="0" applyNumberFormat="1" applyFont="1" applyFill="1" applyBorder="1" applyAlignment="1" applyProtection="1">
      <alignment horizontal="left" vertical="center" wrapText="1"/>
      <protection locked="0"/>
    </xf>
    <xf numFmtId="0" fontId="3" fillId="2" borderId="1" xfId="0" applyFont="1" applyFill="1" applyBorder="1" applyAlignment="1" applyProtection="1">
      <alignment horizontal="left" vertical="center" wrapText="1"/>
      <protection locked="0"/>
    </xf>
    <xf numFmtId="0" fontId="0" fillId="2" borderId="1" xfId="0" applyFill="1" applyBorder="1" applyAlignment="1" applyProtection="1">
      <alignment horizontal="left" vertical="center" wrapText="1"/>
      <protection locked="0"/>
    </xf>
    <xf numFmtId="0" fontId="5" fillId="2" borderId="1" xfId="0" applyFont="1" applyFill="1" applyBorder="1" applyAlignment="1" applyProtection="1">
      <alignment horizontal="left" vertical="center" wrapText="1"/>
      <protection locked="0"/>
    </xf>
    <xf numFmtId="0" fontId="4" fillId="2" borderId="1" xfId="0" applyFont="1" applyFill="1" applyBorder="1" applyAlignment="1" applyProtection="1">
      <alignment horizontal="left" vertical="center" wrapText="1"/>
      <protection locked="0"/>
    </xf>
    <xf numFmtId="0" fontId="13" fillId="17" borderId="1" xfId="0" applyFont="1" applyFill="1" applyBorder="1" applyAlignment="1">
      <alignment horizontal="center"/>
    </xf>
    <xf numFmtId="0" fontId="0" fillId="17" borderId="1" xfId="0" applyFill="1" applyBorder="1" applyAlignment="1">
      <alignment horizontal="center"/>
    </xf>
    <xf numFmtId="0" fontId="25" fillId="17" borderId="34" xfId="0" applyFont="1" applyFill="1" applyBorder="1" applyAlignment="1">
      <alignment horizontal="center" vertical="center" wrapText="1"/>
    </xf>
    <xf numFmtId="0" fontId="25" fillId="17" borderId="34" xfId="0" applyFont="1" applyFill="1" applyBorder="1" applyAlignment="1">
      <alignment horizontal="center" vertical="center"/>
    </xf>
    <xf numFmtId="0" fontId="29" fillId="0" borderId="0" xfId="0" applyFont="1"/>
    <xf numFmtId="0" fontId="4" fillId="4" borderId="1" xfId="0" applyFont="1" applyFill="1" applyBorder="1" applyAlignment="1" applyProtection="1">
      <alignment horizontal="center" vertical="center"/>
      <protection locked="0"/>
    </xf>
    <xf numFmtId="0" fontId="10" fillId="3" borderId="1" xfId="0" applyFont="1" applyFill="1" applyBorder="1" applyAlignment="1" applyProtection="1">
      <alignment horizontal="center" vertical="center"/>
      <protection locked="0"/>
    </xf>
    <xf numFmtId="0" fontId="0" fillId="0" borderId="1" xfId="0" applyBorder="1" applyAlignment="1" applyProtection="1">
      <alignment horizontal="left" vertical="center" wrapText="1"/>
      <protection locked="0"/>
    </xf>
    <xf numFmtId="0" fontId="3" fillId="0" borderId="1" xfId="0" applyFont="1" applyBorder="1" applyAlignment="1" applyProtection="1">
      <alignment horizontal="left" vertical="center" wrapText="1"/>
      <protection locked="0"/>
    </xf>
    <xf numFmtId="0" fontId="3" fillId="13" borderId="1" xfId="0" applyFont="1" applyFill="1" applyBorder="1" applyAlignment="1" applyProtection="1">
      <alignment horizontal="center" vertical="center"/>
      <protection locked="0"/>
    </xf>
    <xf numFmtId="0" fontId="5" fillId="13" borderId="1" xfId="3" quotePrefix="1" applyNumberFormat="1" applyFont="1" applyFill="1" applyBorder="1" applyAlignment="1" applyProtection="1">
      <alignment horizontal="center" vertical="center"/>
      <protection locked="0"/>
    </xf>
    <xf numFmtId="0" fontId="10" fillId="0" borderId="1" xfId="0" applyFont="1" applyBorder="1" applyAlignment="1" applyProtection="1">
      <alignment horizontal="center" vertical="center"/>
      <protection locked="0"/>
    </xf>
    <xf numFmtId="0" fontId="4" fillId="0" borderId="1" xfId="0" applyFont="1" applyBorder="1" applyAlignment="1" applyProtection="1">
      <alignment horizontal="left" vertical="center" wrapText="1"/>
      <protection locked="0"/>
    </xf>
    <xf numFmtId="0" fontId="4" fillId="18"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xf>
    <xf numFmtId="0" fontId="30" fillId="0" borderId="1" xfId="0" applyFont="1" applyBorder="1" applyAlignment="1">
      <alignment horizontal="center"/>
    </xf>
    <xf numFmtId="0" fontId="30" fillId="0" borderId="1" xfId="0" applyFont="1" applyBorder="1" applyAlignment="1">
      <alignment horizontal="center" vertical="center"/>
    </xf>
    <xf numFmtId="0" fontId="5" fillId="3" borderId="1" xfId="0" applyFont="1" applyFill="1" applyBorder="1" applyAlignment="1" applyProtection="1">
      <alignment horizontal="center" vertical="center" wrapText="1"/>
      <protection locked="0"/>
    </xf>
    <xf numFmtId="0" fontId="4" fillId="13" borderId="1" xfId="0" applyFont="1" applyFill="1" applyBorder="1" applyAlignment="1">
      <alignment horizontal="center" vertical="center"/>
    </xf>
    <xf numFmtId="0" fontId="30" fillId="13" borderId="1" xfId="0" applyFont="1" applyFill="1" applyBorder="1" applyAlignment="1">
      <alignment horizontal="center"/>
    </xf>
    <xf numFmtId="0" fontId="5" fillId="3" borderId="0" xfId="1" applyFont="1" applyFill="1" applyAlignment="1" applyProtection="1">
      <alignment horizontal="center" vertical="center"/>
      <protection locked="0"/>
    </xf>
    <xf numFmtId="0" fontId="0" fillId="3" borderId="0" xfId="1" applyFont="1" applyFill="1" applyAlignment="1" applyProtection="1">
      <alignment horizontal="center" vertical="center"/>
      <protection locked="0"/>
    </xf>
    <xf numFmtId="0" fontId="3" fillId="3" borderId="0" xfId="0" applyFont="1" applyFill="1" applyAlignment="1" applyProtection="1">
      <alignment horizontal="left" vertical="center" wrapText="1"/>
      <protection locked="0"/>
    </xf>
    <xf numFmtId="0" fontId="5" fillId="3" borderId="0" xfId="1" applyFont="1" applyFill="1" applyAlignment="1" applyProtection="1">
      <alignment vertical="center"/>
      <protection locked="0"/>
    </xf>
    <xf numFmtId="164" fontId="4" fillId="0" borderId="0" xfId="0" applyNumberFormat="1" applyFont="1" applyAlignment="1" applyProtection="1">
      <alignment horizontal="center" vertical="center"/>
      <protection locked="0"/>
    </xf>
    <xf numFmtId="0" fontId="5" fillId="0" borderId="1" xfId="0" applyFont="1" applyBorder="1" applyAlignment="1" applyProtection="1">
      <alignment horizontal="left" vertical="center" wrapText="1"/>
      <protection locked="0"/>
    </xf>
    <xf numFmtId="0" fontId="31" fillId="0" borderId="1" xfId="0" applyFont="1" applyBorder="1" applyAlignment="1">
      <alignment horizontal="center"/>
    </xf>
    <xf numFmtId="0" fontId="32" fillId="19" borderId="38" xfId="0" applyFont="1" applyFill="1" applyBorder="1" applyAlignment="1">
      <alignment horizontal="center" vertical="center"/>
    </xf>
    <xf numFmtId="0" fontId="0" fillId="0" borderId="0" xfId="0" applyAlignment="1">
      <alignment horizontal="center" vertical="center"/>
    </xf>
    <xf numFmtId="0" fontId="32" fillId="19" borderId="37" xfId="0" applyFont="1" applyFill="1" applyBorder="1" applyAlignment="1">
      <alignment horizontal="center" vertical="center"/>
    </xf>
    <xf numFmtId="0" fontId="33" fillId="19" borderId="1" xfId="0" applyFont="1" applyFill="1" applyBorder="1" applyAlignment="1">
      <alignment horizontal="center" vertical="center"/>
    </xf>
    <xf numFmtId="0" fontId="33" fillId="19" borderId="1" xfId="0" quotePrefix="1" applyFont="1" applyFill="1" applyBorder="1" applyAlignment="1">
      <alignment horizontal="center" vertical="center"/>
    </xf>
    <xf numFmtId="9" fontId="34" fillId="19" borderId="1" xfId="0" applyNumberFormat="1" applyFont="1" applyFill="1" applyBorder="1" applyAlignment="1">
      <alignment horizontal="center" vertical="center"/>
    </xf>
    <xf numFmtId="0" fontId="33" fillId="2" borderId="1" xfId="0" applyFont="1" applyFill="1" applyBorder="1" applyAlignment="1">
      <alignment horizontal="center" vertical="center"/>
    </xf>
    <xf numFmtId="0" fontId="33" fillId="2" borderId="1" xfId="0" quotePrefix="1" applyFont="1" applyFill="1" applyBorder="1" applyAlignment="1">
      <alignment horizontal="center" vertical="center"/>
    </xf>
    <xf numFmtId="9" fontId="34" fillId="2" borderId="1" xfId="0" applyNumberFormat="1" applyFont="1" applyFill="1" applyBorder="1" applyAlignment="1">
      <alignment horizontal="center" vertical="center"/>
    </xf>
    <xf numFmtId="0" fontId="35" fillId="19" borderId="1" xfId="0" applyFont="1" applyFill="1" applyBorder="1" applyAlignment="1">
      <alignment horizontal="center" vertical="center"/>
    </xf>
    <xf numFmtId="0" fontId="33" fillId="2" borderId="5" xfId="0" applyFont="1" applyFill="1" applyBorder="1" applyAlignment="1">
      <alignment horizontal="center" vertical="center"/>
    </xf>
    <xf numFmtId="0" fontId="33" fillId="19" borderId="5" xfId="0" applyFont="1" applyFill="1" applyBorder="1" applyAlignment="1">
      <alignment horizontal="center" vertical="center"/>
    </xf>
    <xf numFmtId="0" fontId="33" fillId="2" borderId="18" xfId="0" applyFont="1" applyFill="1" applyBorder="1" applyAlignment="1">
      <alignment horizontal="center" vertical="center"/>
    </xf>
    <xf numFmtId="0" fontId="33" fillId="2" borderId="17" xfId="0" applyFont="1" applyFill="1" applyBorder="1" applyAlignment="1">
      <alignment horizontal="center" vertical="center"/>
    </xf>
    <xf numFmtId="0" fontId="0" fillId="2" borderId="17" xfId="0" applyFill="1" applyBorder="1" applyAlignment="1">
      <alignment horizontal="center"/>
    </xf>
    <xf numFmtId="0" fontId="32" fillId="11" borderId="38" xfId="0" applyFont="1" applyFill="1" applyBorder="1" applyAlignment="1">
      <alignment horizontal="center" vertical="center"/>
    </xf>
    <xf numFmtId="0" fontId="0" fillId="2" borderId="1" xfId="0" applyFill="1" applyBorder="1" applyAlignment="1">
      <alignment horizontal="center"/>
    </xf>
    <xf numFmtId="0" fontId="0" fillId="0" borderId="0" xfId="0" applyAlignment="1">
      <alignment horizontal="left" vertical="center"/>
    </xf>
    <xf numFmtId="0" fontId="33" fillId="19" borderId="39" xfId="0" applyFont="1" applyFill="1" applyBorder="1" applyAlignment="1">
      <alignment horizontal="center" vertical="center"/>
    </xf>
    <xf numFmtId="0" fontId="33" fillId="19" borderId="39" xfId="0" quotePrefix="1" applyFont="1" applyFill="1" applyBorder="1" applyAlignment="1">
      <alignment horizontal="center" vertical="center"/>
    </xf>
    <xf numFmtId="9" fontId="34" fillId="19" borderId="39" xfId="0" applyNumberFormat="1" applyFont="1" applyFill="1" applyBorder="1" applyAlignment="1">
      <alignment horizontal="center" vertical="center"/>
    </xf>
    <xf numFmtId="0" fontId="33" fillId="19" borderId="40" xfId="0" applyFont="1" applyFill="1" applyBorder="1" applyAlignment="1">
      <alignment horizontal="center" vertical="center"/>
    </xf>
    <xf numFmtId="0" fontId="0" fillId="0" borderId="39" xfId="0" applyBorder="1" applyAlignment="1">
      <alignment horizontal="center"/>
    </xf>
    <xf numFmtId="0" fontId="33" fillId="2" borderId="17" xfId="0" quotePrefix="1" applyFont="1" applyFill="1" applyBorder="1" applyAlignment="1">
      <alignment horizontal="center" vertical="center"/>
    </xf>
    <xf numFmtId="9" fontId="34" fillId="2" borderId="17" xfId="0" applyNumberFormat="1" applyFont="1" applyFill="1" applyBorder="1" applyAlignment="1">
      <alignment horizontal="center" vertical="center"/>
    </xf>
    <xf numFmtId="0" fontId="35" fillId="19" borderId="39" xfId="0" applyFont="1" applyFill="1" applyBorder="1" applyAlignment="1">
      <alignment horizontal="center" vertical="center"/>
    </xf>
    <xf numFmtId="0" fontId="0" fillId="0" borderId="1" xfId="0" applyBorder="1" applyAlignment="1">
      <alignment horizontal="center" vertical="center"/>
    </xf>
    <xf numFmtId="9" fontId="0" fillId="0" borderId="1" xfId="0" applyNumberFormat="1" applyBorder="1" applyAlignment="1">
      <alignment horizontal="center" vertical="center"/>
    </xf>
    <xf numFmtId="0" fontId="0" fillId="0" borderId="17" xfId="0" applyBorder="1" applyAlignment="1">
      <alignment horizontal="center" vertical="center"/>
    </xf>
    <xf numFmtId="0" fontId="13" fillId="0" borderId="41" xfId="0" applyFont="1" applyBorder="1" applyAlignment="1">
      <alignment horizontal="left" vertical="center"/>
    </xf>
    <xf numFmtId="0" fontId="13" fillId="0" borderId="42" xfId="0" applyFont="1" applyBorder="1" applyAlignment="1">
      <alignment horizontal="center" vertical="center"/>
    </xf>
    <xf numFmtId="0" fontId="13" fillId="0" borderId="43" xfId="0" applyFont="1" applyBorder="1" applyAlignment="1">
      <alignment horizontal="center" vertical="center"/>
    </xf>
    <xf numFmtId="0" fontId="39" fillId="0" borderId="1" xfId="0" applyFont="1" applyBorder="1" applyAlignment="1">
      <alignment horizontal="center" vertical="center"/>
    </xf>
    <xf numFmtId="0" fontId="40" fillId="0" borderId="1" xfId="0" applyFont="1" applyBorder="1" applyAlignment="1">
      <alignment horizontal="center" vertical="center"/>
    </xf>
    <xf numFmtId="0" fontId="41" fillId="0" borderId="1" xfId="0" applyFont="1" applyBorder="1" applyAlignment="1">
      <alignment horizontal="center" vertical="center"/>
    </xf>
    <xf numFmtId="0" fontId="0" fillId="0" borderId="44" xfId="0" applyBorder="1" applyAlignment="1">
      <alignment horizontal="center"/>
    </xf>
    <xf numFmtId="0" fontId="33" fillId="19" borderId="44" xfId="0" applyFont="1" applyFill="1" applyBorder="1" applyAlignment="1">
      <alignment horizontal="center" vertical="center"/>
    </xf>
    <xf numFmtId="0" fontId="35" fillId="19" borderId="44" xfId="0" applyFont="1" applyFill="1" applyBorder="1" applyAlignment="1">
      <alignment horizontal="center" vertical="center"/>
    </xf>
    <xf numFmtId="0" fontId="33" fillId="19" borderId="44" xfId="0" quotePrefix="1" applyFont="1" applyFill="1" applyBorder="1" applyAlignment="1">
      <alignment horizontal="center" vertical="center"/>
    </xf>
    <xf numFmtId="9" fontId="34" fillId="19" borderId="44" xfId="0" applyNumberFormat="1" applyFont="1" applyFill="1" applyBorder="1" applyAlignment="1">
      <alignment horizontal="center" vertical="center"/>
    </xf>
    <xf numFmtId="0" fontId="33" fillId="19" borderId="45" xfId="0" applyFont="1" applyFill="1" applyBorder="1" applyAlignment="1">
      <alignment horizontal="center" vertical="center"/>
    </xf>
    <xf numFmtId="0" fontId="0" fillId="0" borderId="46" xfId="0" applyBorder="1" applyAlignment="1">
      <alignment horizontal="left" vertical="center"/>
    </xf>
    <xf numFmtId="0" fontId="0" fillId="0" borderId="47" xfId="0" applyBorder="1" applyAlignment="1">
      <alignment horizontal="center" vertical="center"/>
    </xf>
    <xf numFmtId="0" fontId="0" fillId="0" borderId="48" xfId="0" applyBorder="1" applyAlignment="1">
      <alignment horizontal="left" vertical="center"/>
    </xf>
    <xf numFmtId="0" fontId="0" fillId="0" borderId="49" xfId="0" applyBorder="1" applyAlignment="1">
      <alignment horizontal="center" vertical="center"/>
    </xf>
    <xf numFmtId="0" fontId="0" fillId="0" borderId="49" xfId="0" applyBorder="1" applyAlignment="1">
      <alignment horizontal="center"/>
    </xf>
    <xf numFmtId="0" fontId="0" fillId="0" borderId="50" xfId="0" applyBorder="1" applyAlignment="1">
      <alignment horizontal="left" vertical="center"/>
    </xf>
    <xf numFmtId="0" fontId="41" fillId="0" borderId="44" xfId="0" applyFont="1" applyBorder="1" applyAlignment="1">
      <alignment horizontal="center" vertical="center"/>
    </xf>
    <xf numFmtId="0" fontId="0" fillId="0" borderId="44" xfId="0" applyBorder="1" applyAlignment="1">
      <alignment horizontal="center" vertical="center"/>
    </xf>
    <xf numFmtId="9" fontId="0" fillId="0" borderId="44" xfId="0" applyNumberFormat="1" applyBorder="1" applyAlignment="1">
      <alignment horizontal="center" vertical="center"/>
    </xf>
    <xf numFmtId="0" fontId="39" fillId="0" borderId="44" xfId="0" applyFont="1" applyBorder="1" applyAlignment="1">
      <alignment horizontal="center" vertical="center"/>
    </xf>
    <xf numFmtId="0" fontId="0" fillId="0" borderId="51" xfId="0" applyBorder="1" applyAlignment="1">
      <alignment horizontal="center"/>
    </xf>
    <xf numFmtId="0" fontId="13" fillId="0" borderId="0" xfId="0" applyFont="1"/>
    <xf numFmtId="0" fontId="4" fillId="20" borderId="1" xfId="0" applyFont="1" applyFill="1" applyBorder="1" applyAlignment="1" applyProtection="1">
      <alignment horizontal="center" vertical="center"/>
      <protection locked="0"/>
    </xf>
    <xf numFmtId="0" fontId="3" fillId="20" borderId="1" xfId="0" applyFont="1" applyFill="1" applyBorder="1" applyAlignment="1" applyProtection="1">
      <alignment horizontal="center" vertical="center"/>
      <protection locked="0"/>
    </xf>
    <xf numFmtId="0" fontId="5" fillId="20" borderId="1" xfId="3" quotePrefix="1" applyNumberFormat="1" applyFont="1" applyFill="1" applyBorder="1" applyAlignment="1" applyProtection="1">
      <alignment horizontal="center" vertical="center"/>
      <protection locked="0"/>
    </xf>
    <xf numFmtId="0" fontId="44" fillId="3" borderId="1" xfId="0" applyFont="1" applyFill="1" applyBorder="1" applyAlignment="1" applyProtection="1">
      <alignment horizontal="left" vertical="center" wrapText="1"/>
      <protection locked="0"/>
    </xf>
    <xf numFmtId="0" fontId="0" fillId="0" borderId="0" xfId="0" applyAlignment="1">
      <alignment horizontal="left"/>
    </xf>
    <xf numFmtId="0" fontId="45" fillId="0" borderId="0" xfId="0" applyFont="1"/>
    <xf numFmtId="0" fontId="47" fillId="0" borderId="0" xfId="0" applyFont="1"/>
    <xf numFmtId="0" fontId="48" fillId="0" borderId="0" xfId="0" applyFont="1"/>
    <xf numFmtId="0" fontId="0" fillId="0" borderId="52" xfId="0" applyBorder="1" applyAlignment="1">
      <alignment horizontal="center"/>
    </xf>
    <xf numFmtId="0" fontId="0" fillId="0" borderId="52" xfId="0" applyBorder="1" applyAlignment="1">
      <alignment horizontal="center" vertical="center"/>
    </xf>
    <xf numFmtId="0" fontId="4" fillId="3" borderId="10" xfId="0" applyFont="1" applyFill="1" applyBorder="1" applyAlignment="1" applyProtection="1">
      <alignment horizontal="left" vertical="center" wrapText="1"/>
      <protection locked="0"/>
    </xf>
    <xf numFmtId="0" fontId="25" fillId="17" borderId="1" xfId="0" applyFont="1" applyFill="1" applyBorder="1" applyAlignment="1">
      <alignment horizontal="left" vertical="center" wrapText="1"/>
    </xf>
    <xf numFmtId="0" fontId="29" fillId="0" borderId="0" xfId="0" applyFont="1" applyAlignment="1">
      <alignment horizontal="left"/>
    </xf>
    <xf numFmtId="0" fontId="49" fillId="0" borderId="1" xfId="0" applyFont="1" applyBorder="1" applyAlignment="1" applyProtection="1">
      <alignment horizontal="left" vertical="center" wrapText="1"/>
      <protection locked="0"/>
    </xf>
    <xf numFmtId="0" fontId="49" fillId="0" borderId="0" xfId="0" applyFont="1"/>
    <xf numFmtId="0" fontId="38" fillId="0" borderId="0" xfId="0" applyFont="1" applyAlignment="1">
      <alignment horizontal="center"/>
    </xf>
    <xf numFmtId="164" fontId="38" fillId="0" borderId="0" xfId="0" applyNumberFormat="1" applyFont="1" applyAlignment="1">
      <alignment horizontal="center"/>
    </xf>
    <xf numFmtId="164" fontId="30" fillId="0" borderId="1" xfId="0" applyNumberFormat="1" applyFont="1" applyBorder="1" applyAlignment="1">
      <alignment horizontal="center"/>
    </xf>
    <xf numFmtId="0" fontId="13" fillId="0" borderId="5" xfId="0" applyFont="1" applyBorder="1" applyAlignment="1">
      <alignment horizontal="center"/>
    </xf>
    <xf numFmtId="0" fontId="13" fillId="0" borderId="10" xfId="0" applyFont="1" applyBorder="1" applyAlignment="1">
      <alignment horizontal="center"/>
    </xf>
    <xf numFmtId="0" fontId="13" fillId="17" borderId="3" xfId="0" applyFont="1" applyFill="1" applyBorder="1" applyAlignment="1">
      <alignment horizontal="left" vertical="center"/>
    </xf>
    <xf numFmtId="0" fontId="13" fillId="17" borderId="17" xfId="0" applyFont="1" applyFill="1" applyBorder="1" applyAlignment="1">
      <alignment horizontal="left" vertical="center"/>
    </xf>
    <xf numFmtId="0" fontId="13" fillId="17" borderId="35" xfId="0" applyFont="1" applyFill="1" applyBorder="1" applyAlignment="1">
      <alignment horizontal="center" vertical="center"/>
    </xf>
    <xf numFmtId="0" fontId="13" fillId="17" borderId="36" xfId="0" applyFont="1" applyFill="1" applyBorder="1" applyAlignment="1">
      <alignment horizontal="center" vertical="center"/>
    </xf>
    <xf numFmtId="0" fontId="2" fillId="0" borderId="4" xfId="0" applyFont="1" applyBorder="1" applyAlignment="1" applyProtection="1">
      <alignment horizontal="center" vertical="center" wrapText="1"/>
      <protection locked="0"/>
    </xf>
    <xf numFmtId="0" fontId="2" fillId="0" borderId="18"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17" xfId="0" applyFont="1" applyBorder="1" applyAlignment="1" applyProtection="1">
      <alignment horizontal="center" vertical="center" wrapText="1"/>
      <protection locked="0"/>
    </xf>
    <xf numFmtId="0" fontId="13" fillId="0" borderId="0" xfId="0" applyFont="1" applyAlignment="1">
      <alignment horizontal="left"/>
    </xf>
    <xf numFmtId="0" fontId="3" fillId="3" borderId="0" xfId="0" applyFont="1" applyFill="1" applyBorder="1" applyAlignment="1">
      <alignment horizontal="center" vertical="center"/>
    </xf>
    <xf numFmtId="0" fontId="0" fillId="3" borderId="0" xfId="0" applyFill="1" applyAlignment="1"/>
    <xf numFmtId="0" fontId="3" fillId="3" borderId="53" xfId="0" applyFont="1" applyFill="1" applyBorder="1" applyAlignment="1">
      <alignment horizontal="center" vertical="center"/>
    </xf>
    <xf numFmtId="0" fontId="3" fillId="3" borderId="0" xfId="0" applyFont="1" applyFill="1" applyBorder="1" applyAlignment="1"/>
    <xf numFmtId="0" fontId="3" fillId="3" borderId="0" xfId="0" applyFont="1" applyFill="1" applyAlignment="1"/>
    <xf numFmtId="0" fontId="0" fillId="3" borderId="0" xfId="0" applyFill="1" applyAlignment="1">
      <alignment horizontal="center" vertical="center"/>
    </xf>
    <xf numFmtId="0" fontId="3" fillId="2" borderId="1" xfId="0" applyFont="1" applyFill="1" applyBorder="1" applyAlignment="1">
      <alignment horizontal="center" vertical="center"/>
    </xf>
    <xf numFmtId="0" fontId="3" fillId="2" borderId="10" xfId="0" applyFont="1" applyFill="1" applyBorder="1" applyAlignment="1">
      <alignment horizontal="center" vertical="center"/>
    </xf>
    <xf numFmtId="0" fontId="3" fillId="21" borderId="53" xfId="0" applyFont="1" applyFill="1" applyBorder="1" applyAlignment="1">
      <alignment horizontal="center" vertical="center"/>
    </xf>
    <xf numFmtId="0" fontId="3" fillId="22" borderId="17" xfId="0" applyFont="1" applyFill="1" applyBorder="1" applyAlignment="1">
      <alignment horizontal="center" vertical="center"/>
    </xf>
  </cellXfs>
  <cellStyles count="5">
    <cellStyle name="Hyperlink" xfId="4" builtinId="8"/>
    <cellStyle name="Normal" xfId="0" builtinId="0"/>
    <cellStyle name="Normal 4 2" xfId="2" xr:uid="{42232B9F-F7BB-4791-B420-8B6048D76769}"/>
    <cellStyle name="Normal 6" xfId="1" xr:uid="{55E5DEE3-0DB6-46AD-915E-1FE16E10E18D}"/>
    <cellStyle name="SAPMemberCell" xfId="3" xr:uid="{AEDA0724-E31C-488A-A291-11F803B0C9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1</xdr:row>
      <xdr:rowOff>0</xdr:rowOff>
    </xdr:from>
    <xdr:to>
      <xdr:col>27</xdr:col>
      <xdr:colOff>297270</xdr:colOff>
      <xdr:row>24</xdr:row>
      <xdr:rowOff>28034</xdr:rowOff>
    </xdr:to>
    <xdr:pic>
      <xdr:nvPicPr>
        <xdr:cNvPr id="2" name="Picture 1">
          <a:extLst>
            <a:ext uri="{FF2B5EF4-FFF2-40B4-BE49-F238E27FC236}">
              <a16:creationId xmlns:a16="http://schemas.microsoft.com/office/drawing/2014/main" id="{35B973C1-3635-DE26-E4C7-F5309BAD3078}"/>
            </a:ext>
          </a:extLst>
        </xdr:cNvPr>
        <xdr:cNvPicPr>
          <a:picLocks noChangeAspect="1"/>
        </xdr:cNvPicPr>
      </xdr:nvPicPr>
      <xdr:blipFill>
        <a:blip xmlns:r="http://schemas.openxmlformats.org/officeDocument/2006/relationships" r:embed="rId1"/>
        <a:stretch>
          <a:fillRect/>
        </a:stretch>
      </xdr:blipFill>
      <xdr:spPr>
        <a:xfrm>
          <a:off x="14185900" y="190500"/>
          <a:ext cx="9438095" cy="4323809"/>
        </a:xfrm>
        <a:prstGeom prst="rect">
          <a:avLst/>
        </a:prstGeom>
      </xdr:spPr>
    </xdr:pic>
    <xdr:clientData/>
  </xdr:twoCellAnchor>
  <xdr:twoCellAnchor editAs="oneCell">
    <xdr:from>
      <xdr:col>10</xdr:col>
      <xdr:colOff>3752850</xdr:colOff>
      <xdr:row>25</xdr:row>
      <xdr:rowOff>95250</xdr:rowOff>
    </xdr:from>
    <xdr:to>
      <xdr:col>22</xdr:col>
      <xdr:colOff>330200</xdr:colOff>
      <xdr:row>33</xdr:row>
      <xdr:rowOff>63500</xdr:rowOff>
    </xdr:to>
    <xdr:pic>
      <xdr:nvPicPr>
        <xdr:cNvPr id="3" name="Picture 2">
          <a:extLst>
            <a:ext uri="{FF2B5EF4-FFF2-40B4-BE49-F238E27FC236}">
              <a16:creationId xmlns:a16="http://schemas.microsoft.com/office/drawing/2014/main" id="{485AB83B-4AED-420C-278B-34A70083D217}"/>
            </a:ext>
            <a:ext uri="{147F2762-F138-4A5C-976F-8EAC2B608ADB}">
              <a16:predDERef xmlns:a16="http://schemas.microsoft.com/office/drawing/2014/main" pred="{35B973C1-3635-DE26-E4C7-F5309BAD3078}"/>
            </a:ext>
          </a:extLst>
        </xdr:cNvPr>
        <xdr:cNvPicPr>
          <a:picLocks noChangeAspect="1"/>
        </xdr:cNvPicPr>
      </xdr:nvPicPr>
      <xdr:blipFill>
        <a:blip xmlns:r="http://schemas.openxmlformats.org/officeDocument/2006/relationships" r:embed="rId2"/>
        <a:stretch>
          <a:fillRect/>
        </a:stretch>
      </xdr:blipFill>
      <xdr:spPr>
        <a:xfrm>
          <a:off x="21012150" y="4933950"/>
          <a:ext cx="7391400" cy="1495425"/>
        </a:xfrm>
        <a:prstGeom prst="rect">
          <a:avLst/>
        </a:prstGeom>
      </xdr:spPr>
    </xdr:pic>
    <xdr:clientData/>
  </xdr:twoCellAnchor>
  <xdr:twoCellAnchor editAs="oneCell">
    <xdr:from>
      <xdr:col>0</xdr:col>
      <xdr:colOff>533400</xdr:colOff>
      <xdr:row>25</xdr:row>
      <xdr:rowOff>85725</xdr:rowOff>
    </xdr:from>
    <xdr:to>
      <xdr:col>3</xdr:col>
      <xdr:colOff>882650</xdr:colOff>
      <xdr:row>41</xdr:row>
      <xdr:rowOff>6350</xdr:rowOff>
    </xdr:to>
    <xdr:pic>
      <xdr:nvPicPr>
        <xdr:cNvPr id="4" name="Picture 3">
          <a:extLst>
            <a:ext uri="{FF2B5EF4-FFF2-40B4-BE49-F238E27FC236}">
              <a16:creationId xmlns:a16="http://schemas.microsoft.com/office/drawing/2014/main" id="{96AB2570-953B-F176-55B5-9A5A0B8ECD24}"/>
            </a:ext>
            <a:ext uri="{147F2762-F138-4A5C-976F-8EAC2B608ADB}">
              <a16:predDERef xmlns:a16="http://schemas.microsoft.com/office/drawing/2014/main" pred="{485AB83B-4AED-420C-278B-34A70083D217}"/>
            </a:ext>
          </a:extLst>
        </xdr:cNvPr>
        <xdr:cNvPicPr>
          <a:picLocks noChangeAspect="1"/>
        </xdr:cNvPicPr>
      </xdr:nvPicPr>
      <xdr:blipFill>
        <a:blip xmlns:r="http://schemas.openxmlformats.org/officeDocument/2006/relationships" r:embed="rId3"/>
        <a:stretch>
          <a:fillRect/>
        </a:stretch>
      </xdr:blipFill>
      <xdr:spPr>
        <a:xfrm>
          <a:off x="533400" y="4686300"/>
          <a:ext cx="4572000" cy="2895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5</xdr:row>
      <xdr:rowOff>0</xdr:rowOff>
    </xdr:from>
    <xdr:to>
      <xdr:col>8</xdr:col>
      <xdr:colOff>152400</xdr:colOff>
      <xdr:row>13</xdr:row>
      <xdr:rowOff>161925</xdr:rowOff>
    </xdr:to>
    <xdr:pic>
      <xdr:nvPicPr>
        <xdr:cNvPr id="2" name="Picture 1">
          <a:extLst>
            <a:ext uri="{FF2B5EF4-FFF2-40B4-BE49-F238E27FC236}">
              <a16:creationId xmlns:a16="http://schemas.microsoft.com/office/drawing/2014/main" id="{966EE838-36AA-28BC-3328-CD73797A13EE}"/>
            </a:ext>
          </a:extLst>
        </xdr:cNvPr>
        <xdr:cNvPicPr>
          <a:picLocks noChangeAspect="1"/>
        </xdr:cNvPicPr>
      </xdr:nvPicPr>
      <xdr:blipFill>
        <a:blip xmlns:r="http://schemas.openxmlformats.org/officeDocument/2006/relationships" r:embed="rId1"/>
        <a:stretch>
          <a:fillRect/>
        </a:stretch>
      </xdr:blipFill>
      <xdr:spPr>
        <a:xfrm>
          <a:off x="7629525" y="952500"/>
          <a:ext cx="1371600" cy="1685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b:/r/teams/BATWireBonding/Shared%20Documents/General/PECOTek%20Capillary%20Lineup.pdf?csf=1&amp;web=1&amp;e=rIEksY"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x:/r/sites/app01-10003211/QMLib/_layouts/15/Doc.aspx?sourcedoc=%7B08F84BDB-956F-4FA1-9393-AF23153C4E04%7D&amp;file=Design_Rules_FE_-_DFM_BE.xls&amp;action=default&amp;mobileredirect=true&amp;DefaultItemOpen=1"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E3F22-1849-4654-8C30-DD64FA6BE6D6}">
  <sheetPr>
    <pageSetUpPr fitToPage="1"/>
  </sheetPr>
  <dimension ref="B2:T18"/>
  <sheetViews>
    <sheetView zoomScaleNormal="100" workbookViewId="0">
      <pane xSplit="4" topLeftCell="G1" activePane="topRight" state="frozen"/>
      <selection pane="topRight" activeCell="L13" sqref="L13"/>
      <selection activeCell="A10" sqref="A10"/>
    </sheetView>
  </sheetViews>
  <sheetFormatPr defaultRowHeight="14.45"/>
  <cols>
    <col min="3" max="3" width="9" customWidth="1"/>
    <col min="4" max="4" width="13.42578125" customWidth="1"/>
    <col min="5" max="5" width="38.85546875" style="244" customWidth="1"/>
    <col min="6" max="6" width="7" bestFit="1" customWidth="1"/>
    <col min="7" max="7" width="6.85546875" customWidth="1"/>
    <col min="8" max="8" width="7" bestFit="1" customWidth="1"/>
    <col min="9" max="9" width="6.7109375" customWidth="1"/>
    <col min="10" max="10" width="7.85546875" bestFit="1" customWidth="1"/>
    <col min="11" max="11" width="8.42578125" customWidth="1"/>
    <col min="12" max="12" width="41.42578125" customWidth="1"/>
    <col min="13" max="13" width="25" customWidth="1"/>
    <col min="14" max="14" width="6.5703125" bestFit="1" customWidth="1"/>
    <col min="15" max="15" width="7" bestFit="1" customWidth="1"/>
    <col min="16" max="16" width="23.140625" customWidth="1"/>
    <col min="17" max="17" width="7.28515625" customWidth="1"/>
  </cols>
  <sheetData>
    <row r="2" spans="2:20" ht="26.1">
      <c r="B2" s="159" t="s">
        <v>0</v>
      </c>
      <c r="C2" s="258" t="s">
        <v>1</v>
      </c>
      <c r="D2" s="259"/>
      <c r="E2" s="260" t="s">
        <v>2</v>
      </c>
      <c r="F2" s="135" t="s">
        <v>3</v>
      </c>
      <c r="G2" s="135" t="s">
        <v>4</v>
      </c>
      <c r="H2" s="135" t="s">
        <v>5</v>
      </c>
      <c r="I2" s="135" t="s">
        <v>6</v>
      </c>
      <c r="J2" s="135" t="s">
        <v>7</v>
      </c>
      <c r="K2" s="135" t="s">
        <v>8</v>
      </c>
      <c r="L2" s="264" t="s">
        <v>9</v>
      </c>
      <c r="M2" s="262" t="s">
        <v>10</v>
      </c>
      <c r="N2" s="135" t="s">
        <v>3</v>
      </c>
      <c r="O2" s="135" t="s">
        <v>4</v>
      </c>
      <c r="P2" s="135" t="s">
        <v>5</v>
      </c>
      <c r="Q2" s="135" t="s">
        <v>6</v>
      </c>
      <c r="R2" s="135" t="s">
        <v>7</v>
      </c>
      <c r="S2" s="135" t="s">
        <v>8</v>
      </c>
      <c r="T2" s="266" t="s">
        <v>9</v>
      </c>
    </row>
    <row r="3" spans="2:20">
      <c r="B3" s="160" t="s">
        <v>11</v>
      </c>
      <c r="C3" s="136" t="s">
        <v>12</v>
      </c>
      <c r="D3" s="136" t="s">
        <v>13</v>
      </c>
      <c r="E3" s="261"/>
      <c r="F3" s="136" t="s">
        <v>14</v>
      </c>
      <c r="G3" s="136"/>
      <c r="H3" s="136" t="s">
        <v>15</v>
      </c>
      <c r="I3" s="136"/>
      <c r="J3" s="136" t="s">
        <v>16</v>
      </c>
      <c r="K3" s="136"/>
      <c r="L3" s="265"/>
      <c r="M3" s="263"/>
      <c r="N3" s="136" t="s">
        <v>14</v>
      </c>
      <c r="O3" s="136"/>
      <c r="P3" s="136" t="s">
        <v>15</v>
      </c>
      <c r="Q3" s="136"/>
      <c r="R3" s="136" t="s">
        <v>16</v>
      </c>
      <c r="S3" s="144"/>
      <c r="T3" s="267"/>
    </row>
    <row r="4" spans="2:20">
      <c r="B4" s="160">
        <v>50</v>
      </c>
      <c r="C4" s="136">
        <v>150</v>
      </c>
      <c r="D4" s="136">
        <v>170</v>
      </c>
      <c r="E4" s="251" t="s">
        <v>17</v>
      </c>
      <c r="F4" s="9">
        <v>64</v>
      </c>
      <c r="G4" s="9">
        <f>F4/B4</f>
        <v>1.28</v>
      </c>
      <c r="H4" s="20">
        <v>250</v>
      </c>
      <c r="I4" s="20">
        <f>H4/D4</f>
        <v>1.4705882352941178</v>
      </c>
      <c r="J4" s="20">
        <v>100</v>
      </c>
      <c r="K4" s="20">
        <f>J4/C4</f>
        <v>0.66666666666666663</v>
      </c>
      <c r="L4" s="151" t="s">
        <v>18</v>
      </c>
      <c r="M4" s="161" t="s">
        <v>19</v>
      </c>
      <c r="N4" s="9">
        <v>64</v>
      </c>
      <c r="O4" s="9">
        <f>N4/B4</f>
        <v>1.28</v>
      </c>
      <c r="P4" s="9">
        <v>225</v>
      </c>
      <c r="Q4" s="20">
        <f>P4/D4</f>
        <v>1.3235294117647058</v>
      </c>
      <c r="R4" s="9">
        <v>86</v>
      </c>
      <c r="S4" s="20">
        <f>R4/C4</f>
        <v>0.57333333333333336</v>
      </c>
      <c r="T4" s="20"/>
    </row>
    <row r="5" spans="2:20" ht="32.1" customHeight="1">
      <c r="B5" s="160">
        <v>44</v>
      </c>
      <c r="C5" s="136">
        <v>130</v>
      </c>
      <c r="D5" s="136">
        <v>155</v>
      </c>
      <c r="E5" s="251" t="s">
        <v>20</v>
      </c>
      <c r="F5" s="20">
        <v>56</v>
      </c>
      <c r="G5" s="20">
        <f>F5/B5</f>
        <v>1.2727272727272727</v>
      </c>
      <c r="H5" s="20">
        <v>225</v>
      </c>
      <c r="I5" s="20">
        <f>H5/D5</f>
        <v>1.4516129032258065</v>
      </c>
      <c r="J5" s="20">
        <v>86</v>
      </c>
      <c r="K5" s="20">
        <f>J5/C5</f>
        <v>0.66153846153846152</v>
      </c>
      <c r="L5" s="153" t="s">
        <v>21</v>
      </c>
      <c r="M5" s="162"/>
      <c r="N5" s="138"/>
      <c r="O5" s="138"/>
      <c r="P5" s="138"/>
      <c r="Q5" s="138"/>
      <c r="R5" s="138"/>
      <c r="S5" s="138"/>
      <c r="T5" s="138"/>
    </row>
    <row r="6" spans="2:20">
      <c r="B6" s="160">
        <v>38</v>
      </c>
      <c r="C6" s="136">
        <v>100</v>
      </c>
      <c r="D6" s="136">
        <v>130</v>
      </c>
      <c r="E6" s="251" t="s">
        <v>22</v>
      </c>
      <c r="F6" s="9">
        <v>51</v>
      </c>
      <c r="G6" s="9">
        <f>F6/B6</f>
        <v>1.3421052631578947</v>
      </c>
      <c r="H6" s="20">
        <v>200</v>
      </c>
      <c r="I6" s="20">
        <f t="shared" ref="I6:I7" si="0">H6/D6</f>
        <v>1.5384615384615385</v>
      </c>
      <c r="J6" s="20">
        <v>78</v>
      </c>
      <c r="K6" s="20">
        <f t="shared" ref="K6:K7" si="1">J6/C6</f>
        <v>0.78</v>
      </c>
      <c r="L6" s="151"/>
      <c r="M6" s="162"/>
      <c r="N6" s="138"/>
      <c r="O6" s="138"/>
      <c r="P6" s="138"/>
      <c r="Q6" s="138"/>
      <c r="R6" s="138"/>
      <c r="S6" s="138"/>
      <c r="T6" s="138"/>
    </row>
    <row r="7" spans="2:20">
      <c r="B7" s="160">
        <v>30</v>
      </c>
      <c r="C7" s="136">
        <v>85</v>
      </c>
      <c r="D7" s="136">
        <v>95</v>
      </c>
      <c r="E7" s="251" t="s">
        <v>23</v>
      </c>
      <c r="F7" s="9">
        <v>43</v>
      </c>
      <c r="G7" s="9">
        <f>F7/B7</f>
        <v>1.4333333333333333</v>
      </c>
      <c r="H7" s="9">
        <v>150</v>
      </c>
      <c r="I7" s="20">
        <f t="shared" si="0"/>
        <v>1.5789473684210527</v>
      </c>
      <c r="J7" s="131">
        <v>63.5</v>
      </c>
      <c r="K7" s="20">
        <f t="shared" si="1"/>
        <v>0.74705882352941178</v>
      </c>
      <c r="L7" s="151" t="s">
        <v>24</v>
      </c>
      <c r="M7" s="162" t="s">
        <v>25</v>
      </c>
      <c r="N7" s="131">
        <v>38</v>
      </c>
      <c r="O7" s="9">
        <f t="shared" ref="O7" si="2">N7/B7</f>
        <v>1.2666666666666666</v>
      </c>
      <c r="P7" s="131">
        <v>130</v>
      </c>
      <c r="Q7" s="20">
        <f>P7/D7</f>
        <v>1.368421052631579</v>
      </c>
      <c r="R7" s="131">
        <v>51.5</v>
      </c>
      <c r="S7" s="20">
        <f>R7/C7</f>
        <v>0.60588235294117643</v>
      </c>
      <c r="T7" s="20"/>
    </row>
    <row r="8" spans="2:20" ht="14.25" customHeight="1">
      <c r="B8" s="160">
        <v>25</v>
      </c>
      <c r="C8" s="136">
        <v>60</v>
      </c>
      <c r="D8" s="136">
        <v>80</v>
      </c>
      <c r="E8" s="251" t="s">
        <v>26</v>
      </c>
      <c r="F8" s="131">
        <v>30</v>
      </c>
      <c r="G8" s="131">
        <v>1.2</v>
      </c>
      <c r="H8" s="131">
        <v>165</v>
      </c>
      <c r="I8" s="131">
        <v>2.1</v>
      </c>
      <c r="J8" s="131">
        <v>53</v>
      </c>
      <c r="K8" s="131">
        <v>0.9</v>
      </c>
      <c r="L8" s="151" t="s">
        <v>27</v>
      </c>
      <c r="M8" s="162" t="s">
        <v>28</v>
      </c>
      <c r="N8" s="9">
        <v>30</v>
      </c>
      <c r="O8" s="9">
        <v>1.2</v>
      </c>
      <c r="P8" s="9">
        <v>120</v>
      </c>
      <c r="Q8" s="9">
        <v>1.5</v>
      </c>
      <c r="R8" s="9" t="s">
        <v>29</v>
      </c>
      <c r="S8" s="9">
        <v>0.7</v>
      </c>
      <c r="T8" s="154" t="s">
        <v>30</v>
      </c>
    </row>
    <row r="9" spans="2:20" hidden="1">
      <c r="B9" s="160">
        <v>23</v>
      </c>
      <c r="C9" s="136">
        <v>60</v>
      </c>
      <c r="D9" s="136">
        <v>80</v>
      </c>
      <c r="E9" s="251"/>
      <c r="F9" s="147">
        <v>30</v>
      </c>
      <c r="G9" s="137"/>
      <c r="H9" s="137"/>
      <c r="I9" s="137"/>
      <c r="J9" s="137"/>
      <c r="K9" s="137"/>
      <c r="L9" s="152"/>
      <c r="M9" s="162"/>
      <c r="N9" s="138"/>
      <c r="O9" s="138"/>
      <c r="P9" s="138"/>
      <c r="Q9" s="138"/>
      <c r="R9" s="138"/>
      <c r="S9" s="138"/>
      <c r="T9" s="137"/>
    </row>
    <row r="10" spans="2:20" hidden="1">
      <c r="B10" s="160">
        <v>20</v>
      </c>
      <c r="C10" s="136">
        <v>60</v>
      </c>
      <c r="D10" s="136">
        <v>75</v>
      </c>
      <c r="E10" s="251"/>
      <c r="F10" s="147">
        <v>30</v>
      </c>
      <c r="G10" s="137"/>
      <c r="H10" s="137"/>
      <c r="I10" s="137"/>
      <c r="J10" s="137"/>
      <c r="K10" s="137"/>
      <c r="L10" s="152"/>
      <c r="M10" s="162"/>
      <c r="N10" s="138"/>
      <c r="O10" s="138"/>
      <c r="P10" s="138"/>
      <c r="Q10" s="138"/>
      <c r="R10" s="138"/>
      <c r="S10" s="138"/>
      <c r="T10" s="137"/>
    </row>
    <row r="11" spans="2:20">
      <c r="B11" s="160">
        <v>18</v>
      </c>
      <c r="C11" s="136">
        <v>60</v>
      </c>
      <c r="D11" s="136">
        <v>80</v>
      </c>
      <c r="E11" s="251" t="s">
        <v>31</v>
      </c>
      <c r="F11" s="20">
        <v>23</v>
      </c>
      <c r="G11" s="9">
        <f>F11/B11</f>
        <v>1.2777777777777777</v>
      </c>
      <c r="H11" s="27">
        <v>80</v>
      </c>
      <c r="I11" s="20">
        <f>H11/D11</f>
        <v>1</v>
      </c>
      <c r="J11" s="131">
        <v>28</v>
      </c>
      <c r="K11" s="20">
        <f>J11/C11</f>
        <v>0.46666666666666667</v>
      </c>
      <c r="L11" s="151" t="s">
        <v>32</v>
      </c>
      <c r="M11" s="162"/>
      <c r="N11" s="138"/>
      <c r="O11" s="138"/>
      <c r="P11" s="138"/>
      <c r="Q11" s="138"/>
      <c r="R11" s="138"/>
      <c r="S11" s="138"/>
      <c r="T11" s="138"/>
    </row>
    <row r="14" spans="2:20">
      <c r="B14" s="163" t="s">
        <v>33</v>
      </c>
      <c r="C14" s="163"/>
      <c r="D14" s="163"/>
      <c r="E14" s="252"/>
    </row>
    <row r="15" spans="2:20">
      <c r="B15" t="s">
        <v>34</v>
      </c>
    </row>
    <row r="16" spans="2:20">
      <c r="B16" t="s">
        <v>35</v>
      </c>
    </row>
    <row r="17" spans="2:2">
      <c r="B17" t="s">
        <v>36</v>
      </c>
    </row>
    <row r="18" spans="2:2">
      <c r="B18" t="s">
        <v>37</v>
      </c>
    </row>
  </sheetData>
  <mergeCells count="5">
    <mergeCell ref="C2:D2"/>
    <mergeCell ref="E2:E3"/>
    <mergeCell ref="M2:M3"/>
    <mergeCell ref="L2:L3"/>
    <mergeCell ref="T2:T3"/>
  </mergeCells>
  <pageMargins left="0.7" right="0.7" top="0.75" bottom="0.75" header="0.3" footer="0.3"/>
  <pageSetup paperSize="9" scale="33" orientation="portrait" r:id="rId1"/>
  <ignoredErrors>
    <ignoredError sqref="G7 G4 G6 G9:G11" unlocked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D3C46-BDA0-49B7-A558-D06B65B24F5E}">
  <dimension ref="A1:V13"/>
  <sheetViews>
    <sheetView zoomScale="85" zoomScaleNormal="85" workbookViewId="0">
      <selection activeCell="E18" sqref="E18"/>
    </sheetView>
  </sheetViews>
  <sheetFormatPr defaultRowHeight="14.45"/>
  <cols>
    <col min="1" max="1" width="7.85546875" bestFit="1" customWidth="1"/>
    <col min="2" max="2" width="7.140625" bestFit="1" customWidth="1"/>
    <col min="3" max="3" width="11.42578125" bestFit="1" customWidth="1"/>
    <col min="4" max="4" width="8.85546875" bestFit="1" customWidth="1"/>
    <col min="5" max="5" width="8.42578125" bestFit="1" customWidth="1"/>
    <col min="6" max="6" width="22.42578125" bestFit="1" customWidth="1"/>
    <col min="7" max="7" width="19.140625" bestFit="1" customWidth="1"/>
    <col min="8" max="8" width="15.28515625" bestFit="1" customWidth="1"/>
    <col min="9" max="9" width="5.7109375" bestFit="1" customWidth="1"/>
    <col min="10" max="10" width="17.5703125" bestFit="1" customWidth="1"/>
    <col min="11" max="11" width="10.140625" bestFit="1" customWidth="1"/>
    <col min="12" max="12" width="17" bestFit="1" customWidth="1"/>
    <col min="13" max="13" width="11" bestFit="1" customWidth="1"/>
    <col min="14" max="14" width="8.28515625" bestFit="1" customWidth="1"/>
    <col min="15" max="15" width="6" bestFit="1" customWidth="1"/>
    <col min="16" max="16" width="7.140625" bestFit="1" customWidth="1"/>
    <col min="17" max="17" width="13.7109375" bestFit="1" customWidth="1"/>
    <col min="18" max="18" width="9.140625" bestFit="1" customWidth="1"/>
    <col min="19" max="19" width="8.85546875" bestFit="1" customWidth="1"/>
    <col min="20" max="20" width="8.140625" bestFit="1" customWidth="1"/>
    <col min="21" max="21" width="8.28515625" bestFit="1" customWidth="1"/>
    <col min="22" max="22" width="7.7109375" bestFit="1" customWidth="1"/>
  </cols>
  <sheetData>
    <row r="1" spans="1:22" ht="51.95">
      <c r="A1" s="1" t="s">
        <v>38</v>
      </c>
      <c r="B1" s="1" t="s">
        <v>39</v>
      </c>
      <c r="C1" s="1" t="s">
        <v>40</v>
      </c>
      <c r="D1" s="1" t="s">
        <v>41</v>
      </c>
      <c r="E1" s="2" t="s">
        <v>42</v>
      </c>
      <c r="F1" s="3" t="s">
        <v>43</v>
      </c>
      <c r="G1" s="1" t="s">
        <v>44</v>
      </c>
      <c r="H1" s="1" t="s">
        <v>45</v>
      </c>
      <c r="I1" s="135" t="s">
        <v>4</v>
      </c>
      <c r="J1" s="1" t="s">
        <v>46</v>
      </c>
      <c r="K1" s="135" t="s">
        <v>6</v>
      </c>
      <c r="L1" s="1" t="s">
        <v>47</v>
      </c>
      <c r="M1" s="135" t="s">
        <v>8</v>
      </c>
      <c r="N1" s="1" t="s">
        <v>48</v>
      </c>
      <c r="O1" s="1" t="s">
        <v>49</v>
      </c>
      <c r="P1" s="1" t="s">
        <v>50</v>
      </c>
      <c r="Q1" s="1" t="s">
        <v>51</v>
      </c>
      <c r="R1" s="1" t="s">
        <v>52</v>
      </c>
      <c r="S1" s="1" t="s">
        <v>53</v>
      </c>
      <c r="T1" s="1" t="s">
        <v>54</v>
      </c>
      <c r="U1" s="1" t="s">
        <v>55</v>
      </c>
      <c r="V1" s="3" t="s">
        <v>56</v>
      </c>
    </row>
    <row r="2" spans="1:22" ht="24.95">
      <c r="A2" s="4" t="s">
        <v>57</v>
      </c>
      <c r="B2" s="12" t="s">
        <v>58</v>
      </c>
      <c r="C2" s="19" t="s">
        <v>59</v>
      </c>
      <c r="D2" s="12">
        <v>11090265</v>
      </c>
      <c r="E2" s="4" t="s">
        <v>60</v>
      </c>
      <c r="F2" s="4" t="s">
        <v>61</v>
      </c>
      <c r="G2" s="20" t="s">
        <v>62</v>
      </c>
      <c r="H2" s="27" t="s">
        <v>63</v>
      </c>
      <c r="I2" s="27">
        <f>23/18</f>
        <v>1.2777777777777777</v>
      </c>
      <c r="J2" s="20" t="s">
        <v>64</v>
      </c>
      <c r="K2" s="20">
        <f>110/80</f>
        <v>1.375</v>
      </c>
      <c r="L2" s="20" t="s">
        <v>65</v>
      </c>
      <c r="M2" s="20">
        <f>43/60</f>
        <v>0.71666666666666667</v>
      </c>
      <c r="N2" s="12">
        <v>90</v>
      </c>
      <c r="O2" s="12">
        <v>11</v>
      </c>
      <c r="P2" s="12">
        <v>15</v>
      </c>
      <c r="Q2" s="12" t="s">
        <v>66</v>
      </c>
      <c r="R2" s="12" t="s">
        <v>67</v>
      </c>
      <c r="S2" s="12" t="s">
        <v>68</v>
      </c>
      <c r="T2" s="12" t="s">
        <v>68</v>
      </c>
      <c r="U2" s="12"/>
      <c r="V2" s="4"/>
    </row>
    <row r="3" spans="1:22" ht="37.5">
      <c r="A3" s="4" t="s">
        <v>57</v>
      </c>
      <c r="B3" s="12" t="s">
        <v>58</v>
      </c>
      <c r="C3" s="155" t="s">
        <v>31</v>
      </c>
      <c r="D3" s="12">
        <v>11103638</v>
      </c>
      <c r="E3" s="4" t="s">
        <v>60</v>
      </c>
      <c r="F3" s="4" t="s">
        <v>69</v>
      </c>
      <c r="G3" s="20" t="s">
        <v>62</v>
      </c>
      <c r="H3" s="20" t="s">
        <v>63</v>
      </c>
      <c r="I3" s="27">
        <f t="shared" ref="I3:I4" si="0">23/18</f>
        <v>1.2777777777777777</v>
      </c>
      <c r="J3" s="142" t="s">
        <v>70</v>
      </c>
      <c r="K3" s="27">
        <f>80/80</f>
        <v>1</v>
      </c>
      <c r="L3" s="140" t="s">
        <v>71</v>
      </c>
      <c r="M3" s="131">
        <f>28/60</f>
        <v>0.46666666666666667</v>
      </c>
      <c r="N3" s="132">
        <v>50</v>
      </c>
      <c r="O3" s="133">
        <v>8</v>
      </c>
      <c r="P3" s="133">
        <v>15</v>
      </c>
      <c r="Q3" s="133" t="s">
        <v>72</v>
      </c>
      <c r="R3" s="133" t="s">
        <v>73</v>
      </c>
      <c r="S3" s="12" t="s">
        <v>68</v>
      </c>
      <c r="T3" s="12" t="s">
        <v>68</v>
      </c>
      <c r="U3" s="132"/>
      <c r="V3" s="4"/>
    </row>
    <row r="4" spans="1:22" ht="29.1">
      <c r="A4" s="7" t="s">
        <v>57</v>
      </c>
      <c r="B4" s="12" t="s">
        <v>58</v>
      </c>
      <c r="C4" s="23" t="s">
        <v>74</v>
      </c>
      <c r="D4" s="7">
        <v>11124314</v>
      </c>
      <c r="E4" s="7" t="s">
        <v>75</v>
      </c>
      <c r="F4" s="22"/>
      <c r="G4" s="20" t="s">
        <v>62</v>
      </c>
      <c r="H4" s="20" t="s">
        <v>63</v>
      </c>
      <c r="I4" s="27">
        <f t="shared" si="0"/>
        <v>1.2777777777777777</v>
      </c>
      <c r="J4" s="27" t="s">
        <v>64</v>
      </c>
      <c r="K4" s="27">
        <f>110/80</f>
        <v>1.375</v>
      </c>
      <c r="L4" s="27" t="s">
        <v>65</v>
      </c>
      <c r="M4" s="27">
        <f>43/60</f>
        <v>0.71666666666666667</v>
      </c>
      <c r="N4" s="132">
        <v>90</v>
      </c>
      <c r="O4" s="132">
        <v>11</v>
      </c>
      <c r="P4" s="132">
        <v>15</v>
      </c>
      <c r="Q4" s="132" t="s">
        <v>66</v>
      </c>
      <c r="R4" s="133" t="s">
        <v>73</v>
      </c>
      <c r="S4" s="12" t="s">
        <v>68</v>
      </c>
      <c r="T4" s="7" t="s">
        <v>68</v>
      </c>
      <c r="U4" s="141"/>
      <c r="V4" s="22"/>
    </row>
    <row r="8" spans="1:22">
      <c r="G8" s="124" t="s">
        <v>76</v>
      </c>
      <c r="H8" s="125" t="s">
        <v>77</v>
      </c>
      <c r="I8" s="125">
        <v>1.3</v>
      </c>
      <c r="J8" s="125" t="s">
        <v>78</v>
      </c>
      <c r="K8" s="125" t="s">
        <v>79</v>
      </c>
      <c r="L8" s="125" t="s">
        <v>80</v>
      </c>
      <c r="M8" s="125" t="s">
        <v>81</v>
      </c>
      <c r="N8" s="125" t="s">
        <v>82</v>
      </c>
      <c r="O8" s="126" t="s">
        <v>83</v>
      </c>
      <c r="P8" s="125" t="s">
        <v>84</v>
      </c>
      <c r="Q8" s="125" t="s">
        <v>85</v>
      </c>
      <c r="R8" s="125" t="s">
        <v>86</v>
      </c>
      <c r="S8" s="127" t="s">
        <v>84</v>
      </c>
    </row>
    <row r="9" spans="1:22">
      <c r="G9" s="124" t="s">
        <v>31</v>
      </c>
      <c r="H9" s="20" t="s">
        <v>63</v>
      </c>
      <c r="I9" s="20">
        <v>1.3</v>
      </c>
      <c r="J9" s="27" t="s">
        <v>70</v>
      </c>
      <c r="K9" s="27">
        <v>1</v>
      </c>
      <c r="L9" s="131" t="s">
        <v>71</v>
      </c>
      <c r="M9" s="131">
        <v>0.5</v>
      </c>
      <c r="N9" s="132">
        <v>50</v>
      </c>
      <c r="O9" s="133">
        <v>8</v>
      </c>
      <c r="P9" s="133">
        <v>15</v>
      </c>
      <c r="Q9" s="133" t="s">
        <v>72</v>
      </c>
      <c r="R9" s="133" t="s">
        <v>73</v>
      </c>
      <c r="S9" s="12">
        <v>15</v>
      </c>
    </row>
    <row r="10" spans="1:22">
      <c r="G10" s="124"/>
    </row>
    <row r="12" spans="1:22">
      <c r="G12" s="124" t="s">
        <v>87</v>
      </c>
      <c r="H12" t="s">
        <v>88</v>
      </c>
    </row>
    <row r="13" spans="1:22">
      <c r="H13" t="s">
        <v>89</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B15C4-DCD3-420F-95CB-95C6654E80DD}">
  <dimension ref="A1:V29"/>
  <sheetViews>
    <sheetView workbookViewId="0">
      <selection activeCell="A4" sqref="A4"/>
    </sheetView>
  </sheetViews>
  <sheetFormatPr defaultColWidth="23.42578125" defaultRowHeight="14.45"/>
  <cols>
    <col min="2" max="2" width="17.28515625" customWidth="1"/>
    <col min="3" max="3" width="27" customWidth="1"/>
    <col min="7" max="7" width="26.5703125" customWidth="1"/>
    <col min="8" max="8" width="23.42578125" customWidth="1"/>
    <col min="9" max="9" width="11.42578125" customWidth="1"/>
    <col min="11" max="11" width="11.140625" customWidth="1"/>
    <col min="13" max="13" width="11.85546875" customWidth="1"/>
  </cols>
  <sheetData>
    <row r="1" spans="1:22" ht="26.1">
      <c r="A1" s="1" t="s">
        <v>38</v>
      </c>
      <c r="B1" s="1" t="s">
        <v>39</v>
      </c>
      <c r="C1" s="1" t="s">
        <v>40</v>
      </c>
      <c r="D1" s="1" t="s">
        <v>41</v>
      </c>
      <c r="E1" s="2" t="s">
        <v>42</v>
      </c>
      <c r="F1" s="3" t="s">
        <v>43</v>
      </c>
      <c r="G1" s="1" t="s">
        <v>44</v>
      </c>
      <c r="H1" s="1" t="s">
        <v>45</v>
      </c>
      <c r="I1" s="135" t="s">
        <v>4</v>
      </c>
      <c r="J1" s="1" t="s">
        <v>46</v>
      </c>
      <c r="K1" s="135" t="s">
        <v>6</v>
      </c>
      <c r="L1" s="1" t="s">
        <v>47</v>
      </c>
      <c r="M1" s="135" t="s">
        <v>8</v>
      </c>
      <c r="N1" s="1" t="s">
        <v>48</v>
      </c>
      <c r="O1" s="1" t="s">
        <v>49</v>
      </c>
      <c r="P1" s="1" t="s">
        <v>50</v>
      </c>
      <c r="Q1" s="1" t="s">
        <v>51</v>
      </c>
      <c r="R1" s="1" t="s">
        <v>52</v>
      </c>
      <c r="S1" s="1" t="s">
        <v>53</v>
      </c>
      <c r="T1" s="1" t="s">
        <v>54</v>
      </c>
      <c r="U1" s="1" t="s">
        <v>55</v>
      </c>
      <c r="V1" s="3"/>
    </row>
    <row r="2" spans="1:22" ht="26.25" customHeight="1">
      <c r="A2" s="4" t="s">
        <v>57</v>
      </c>
      <c r="B2" s="5" t="s">
        <v>90</v>
      </c>
      <c r="C2" s="6" t="s">
        <v>91</v>
      </c>
      <c r="D2" s="5">
        <v>11077824</v>
      </c>
      <c r="E2" s="4" t="s">
        <v>60</v>
      </c>
      <c r="F2" s="8" t="s">
        <v>92</v>
      </c>
      <c r="G2" s="9" t="s">
        <v>93</v>
      </c>
      <c r="H2" s="133" t="s">
        <v>94</v>
      </c>
      <c r="I2" s="133">
        <f>30/25</f>
        <v>1.2</v>
      </c>
      <c r="J2" s="131" t="s">
        <v>95</v>
      </c>
      <c r="K2" s="131">
        <f>150/80</f>
        <v>1.875</v>
      </c>
      <c r="L2" s="131" t="s">
        <v>96</v>
      </c>
      <c r="M2" s="131">
        <f>50.8/60</f>
        <v>0.84666666666666657</v>
      </c>
      <c r="N2" s="133">
        <v>120</v>
      </c>
      <c r="O2" s="133">
        <v>8</v>
      </c>
      <c r="P2" s="133">
        <v>20</v>
      </c>
      <c r="Q2" s="133" t="s">
        <v>94</v>
      </c>
      <c r="R2" s="133" t="s">
        <v>97</v>
      </c>
      <c r="S2" s="5" t="s">
        <v>68</v>
      </c>
      <c r="T2" s="5" t="s">
        <v>68</v>
      </c>
      <c r="U2" s="133"/>
      <c r="V2" s="4"/>
    </row>
    <row r="3" spans="1:22">
      <c r="A3" s="4" t="s">
        <v>57</v>
      </c>
      <c r="B3" s="5" t="s">
        <v>58</v>
      </c>
      <c r="C3" s="6" t="s">
        <v>98</v>
      </c>
      <c r="D3" s="5">
        <v>11017105</v>
      </c>
      <c r="E3" s="4" t="s">
        <v>99</v>
      </c>
      <c r="F3" s="8" t="s">
        <v>92</v>
      </c>
      <c r="G3" s="9" t="s">
        <v>93</v>
      </c>
      <c r="H3" s="131" t="s">
        <v>100</v>
      </c>
      <c r="I3" s="131">
        <f>46/25</f>
        <v>1.84</v>
      </c>
      <c r="J3" s="131" t="s">
        <v>101</v>
      </c>
      <c r="K3" s="131">
        <f>165/80</f>
        <v>2.0625</v>
      </c>
      <c r="L3" s="131" t="s">
        <v>102</v>
      </c>
      <c r="M3" s="131">
        <f>74/60</f>
        <v>1.2333333333333334</v>
      </c>
      <c r="N3" s="133">
        <v>120</v>
      </c>
      <c r="O3" s="133">
        <v>8</v>
      </c>
      <c r="P3" s="133">
        <v>15</v>
      </c>
      <c r="Q3" s="133" t="s">
        <v>103</v>
      </c>
      <c r="R3" s="133" t="s">
        <v>104</v>
      </c>
      <c r="S3" s="5" t="s">
        <v>68</v>
      </c>
      <c r="T3" s="5" t="s">
        <v>68</v>
      </c>
      <c r="U3" s="133"/>
      <c r="V3" s="4"/>
    </row>
    <row r="4" spans="1:22">
      <c r="A4" s="4" t="s">
        <v>57</v>
      </c>
      <c r="B4" s="5" t="s">
        <v>58</v>
      </c>
      <c r="C4" s="6" t="s">
        <v>105</v>
      </c>
      <c r="D4" s="5">
        <v>11073301</v>
      </c>
      <c r="E4" s="4" t="s">
        <v>60</v>
      </c>
      <c r="F4" s="8" t="s">
        <v>106</v>
      </c>
      <c r="G4" s="9" t="s">
        <v>93</v>
      </c>
      <c r="H4" s="131" t="s">
        <v>94</v>
      </c>
      <c r="I4" s="131">
        <f>30/25</f>
        <v>1.2</v>
      </c>
      <c r="J4" s="131" t="s">
        <v>101</v>
      </c>
      <c r="K4" s="131">
        <f t="shared" ref="K4:K7" si="0">165/80</f>
        <v>2.0625</v>
      </c>
      <c r="L4" s="131" t="s">
        <v>107</v>
      </c>
      <c r="M4" s="131">
        <f>53/60</f>
        <v>0.8833333333333333</v>
      </c>
      <c r="N4" s="133" t="s">
        <v>108</v>
      </c>
      <c r="O4" s="133">
        <v>8</v>
      </c>
      <c r="P4" s="133">
        <v>30</v>
      </c>
      <c r="Q4" s="133" t="s">
        <v>103</v>
      </c>
      <c r="R4" s="133" t="s">
        <v>67</v>
      </c>
      <c r="S4" s="5" t="s">
        <v>68</v>
      </c>
      <c r="T4" s="5" t="s">
        <v>68</v>
      </c>
      <c r="U4" s="133"/>
      <c r="V4" s="4"/>
    </row>
    <row r="5" spans="1:22">
      <c r="A5" s="4" t="s">
        <v>57</v>
      </c>
      <c r="B5" s="5" t="s">
        <v>58</v>
      </c>
      <c r="C5" s="6" t="s">
        <v>109</v>
      </c>
      <c r="D5" s="5">
        <v>11079095</v>
      </c>
      <c r="E5" s="4" t="s">
        <v>99</v>
      </c>
      <c r="F5" s="8" t="s">
        <v>92</v>
      </c>
      <c r="G5" s="9" t="s">
        <v>93</v>
      </c>
      <c r="H5" s="131" t="s">
        <v>94</v>
      </c>
      <c r="I5" s="131">
        <f t="shared" ref="I5:I14" si="1">30/25</f>
        <v>1.2</v>
      </c>
      <c r="J5" s="131" t="s">
        <v>101</v>
      </c>
      <c r="K5" s="131">
        <f t="shared" si="0"/>
        <v>2.0625</v>
      </c>
      <c r="L5" s="131" t="s">
        <v>107</v>
      </c>
      <c r="M5" s="131">
        <f t="shared" ref="M5:M7" si="2">53/60</f>
        <v>0.8833333333333333</v>
      </c>
      <c r="N5" s="133" t="s">
        <v>108</v>
      </c>
      <c r="O5" s="133">
        <v>8</v>
      </c>
      <c r="P5" s="133">
        <v>15</v>
      </c>
      <c r="Q5" s="133" t="s">
        <v>103</v>
      </c>
      <c r="R5" s="133" t="s">
        <v>67</v>
      </c>
      <c r="S5" s="5" t="s">
        <v>68</v>
      </c>
      <c r="T5" s="5" t="s">
        <v>68</v>
      </c>
      <c r="U5" s="133"/>
      <c r="V5" s="4"/>
    </row>
    <row r="6" spans="1:22">
      <c r="A6" s="4" t="s">
        <v>57</v>
      </c>
      <c r="B6" s="5" t="s">
        <v>58</v>
      </c>
      <c r="C6" s="158" t="s">
        <v>26</v>
      </c>
      <c r="D6" s="5">
        <v>11080700</v>
      </c>
      <c r="E6" s="4" t="s">
        <v>60</v>
      </c>
      <c r="F6" s="8" t="s">
        <v>110</v>
      </c>
      <c r="G6" s="9" t="s">
        <v>93</v>
      </c>
      <c r="H6" s="131" t="s">
        <v>94</v>
      </c>
      <c r="I6" s="131">
        <f t="shared" si="1"/>
        <v>1.2</v>
      </c>
      <c r="J6" s="131" t="s">
        <v>101</v>
      </c>
      <c r="K6" s="131">
        <f t="shared" si="0"/>
        <v>2.0625</v>
      </c>
      <c r="L6" s="131" t="s">
        <v>107</v>
      </c>
      <c r="M6" s="131">
        <f t="shared" si="2"/>
        <v>0.8833333333333333</v>
      </c>
      <c r="N6" s="133">
        <v>120</v>
      </c>
      <c r="O6" s="133">
        <v>8</v>
      </c>
      <c r="P6" s="133">
        <v>15</v>
      </c>
      <c r="Q6" s="133" t="s">
        <v>103</v>
      </c>
      <c r="R6" s="133" t="s">
        <v>67</v>
      </c>
      <c r="S6" s="5" t="s">
        <v>68</v>
      </c>
      <c r="T6" s="5" t="s">
        <v>68</v>
      </c>
      <c r="U6" s="133"/>
      <c r="V6" s="4"/>
    </row>
    <row r="7" spans="1:22">
      <c r="A7" s="4" t="s">
        <v>57</v>
      </c>
      <c r="B7" s="5" t="s">
        <v>58</v>
      </c>
      <c r="C7" s="185" t="s">
        <v>111</v>
      </c>
      <c r="D7" s="5">
        <v>11087427</v>
      </c>
      <c r="E7" s="4" t="s">
        <v>60</v>
      </c>
      <c r="F7" s="8" t="s">
        <v>112</v>
      </c>
      <c r="G7" s="9" t="s">
        <v>93</v>
      </c>
      <c r="H7" s="131" t="s">
        <v>94</v>
      </c>
      <c r="I7" s="131">
        <f t="shared" si="1"/>
        <v>1.2</v>
      </c>
      <c r="J7" s="131" t="s">
        <v>101</v>
      </c>
      <c r="K7" s="131">
        <f t="shared" si="0"/>
        <v>2.0625</v>
      </c>
      <c r="L7" s="131" t="s">
        <v>107</v>
      </c>
      <c r="M7" s="131">
        <f t="shared" si="2"/>
        <v>0.8833333333333333</v>
      </c>
      <c r="N7" s="133">
        <v>120</v>
      </c>
      <c r="O7" s="133">
        <v>8</v>
      </c>
      <c r="P7" s="133">
        <v>20</v>
      </c>
      <c r="Q7" s="133" t="s">
        <v>103</v>
      </c>
      <c r="R7" s="133" t="s">
        <v>67</v>
      </c>
      <c r="S7" s="140">
        <v>10</v>
      </c>
      <c r="T7" s="140">
        <v>275</v>
      </c>
      <c r="U7" s="133"/>
      <c r="V7" s="4"/>
    </row>
    <row r="8" spans="1:22">
      <c r="A8" s="4" t="s">
        <v>57</v>
      </c>
      <c r="B8" s="12" t="s">
        <v>58</v>
      </c>
      <c r="C8" s="19" t="s">
        <v>113</v>
      </c>
      <c r="D8" s="5">
        <v>11093505</v>
      </c>
      <c r="E8" s="4" t="s">
        <v>99</v>
      </c>
      <c r="F8" s="4" t="s">
        <v>114</v>
      </c>
      <c r="G8" s="9" t="s">
        <v>93</v>
      </c>
      <c r="H8" s="131" t="s">
        <v>94</v>
      </c>
      <c r="I8" s="131">
        <f t="shared" si="1"/>
        <v>1.2</v>
      </c>
      <c r="J8" s="131" t="s">
        <v>95</v>
      </c>
      <c r="K8" s="131">
        <f>150/80</f>
        <v>1.875</v>
      </c>
      <c r="L8" s="131" t="s">
        <v>100</v>
      </c>
      <c r="M8" s="131">
        <f>46/60</f>
        <v>0.76666666666666672</v>
      </c>
      <c r="N8" s="133">
        <v>90</v>
      </c>
      <c r="O8" s="133">
        <v>8</v>
      </c>
      <c r="P8" s="133">
        <v>15</v>
      </c>
      <c r="Q8" s="133" t="s">
        <v>94</v>
      </c>
      <c r="R8" s="133" t="s">
        <v>67</v>
      </c>
      <c r="S8" s="5" t="s">
        <v>68</v>
      </c>
      <c r="T8" s="5" t="s">
        <v>68</v>
      </c>
      <c r="U8" s="133"/>
      <c r="V8" s="4"/>
    </row>
    <row r="9" spans="1:22">
      <c r="A9" s="4" t="s">
        <v>57</v>
      </c>
      <c r="B9" s="12" t="s">
        <v>58</v>
      </c>
      <c r="C9" s="167" t="s">
        <v>115</v>
      </c>
      <c r="D9" s="5">
        <v>11093506</v>
      </c>
      <c r="E9" s="4" t="s">
        <v>60</v>
      </c>
      <c r="F9" s="4" t="s">
        <v>116</v>
      </c>
      <c r="G9" s="9" t="s">
        <v>93</v>
      </c>
      <c r="H9" s="131" t="s">
        <v>94</v>
      </c>
      <c r="I9" s="131">
        <f t="shared" si="1"/>
        <v>1.2</v>
      </c>
      <c r="J9" s="148" t="s">
        <v>117</v>
      </c>
      <c r="K9" s="131">
        <f>120/80</f>
        <v>1.5</v>
      </c>
      <c r="L9" s="148" t="s">
        <v>118</v>
      </c>
      <c r="M9" s="131">
        <f>43/60</f>
        <v>0.71666666666666667</v>
      </c>
      <c r="N9" s="133">
        <v>90</v>
      </c>
      <c r="O9" s="133">
        <v>8</v>
      </c>
      <c r="P9" s="133">
        <v>15</v>
      </c>
      <c r="Q9" s="132" t="s">
        <v>66</v>
      </c>
      <c r="R9" s="133" t="s">
        <v>67</v>
      </c>
      <c r="S9" s="5" t="s">
        <v>68</v>
      </c>
      <c r="T9" s="5" t="s">
        <v>68</v>
      </c>
      <c r="U9" s="133"/>
      <c r="V9" s="4"/>
    </row>
    <row r="10" spans="1:22">
      <c r="A10" s="4" t="s">
        <v>57</v>
      </c>
      <c r="B10" s="12" t="s">
        <v>58</v>
      </c>
      <c r="C10" s="19" t="s">
        <v>119</v>
      </c>
      <c r="D10" s="5">
        <v>11101266</v>
      </c>
      <c r="E10" s="4" t="s">
        <v>60</v>
      </c>
      <c r="F10" s="4" t="s">
        <v>120</v>
      </c>
      <c r="G10" s="9" t="s">
        <v>93</v>
      </c>
      <c r="H10" s="27" t="s">
        <v>94</v>
      </c>
      <c r="I10" s="131">
        <f t="shared" si="1"/>
        <v>1.2</v>
      </c>
      <c r="J10" s="142" t="s">
        <v>121</v>
      </c>
      <c r="K10" s="27">
        <f>90/80</f>
        <v>1.125</v>
      </c>
      <c r="L10" s="140" t="s">
        <v>122</v>
      </c>
      <c r="M10" s="131">
        <f>36/60</f>
        <v>0.6</v>
      </c>
      <c r="N10" s="132">
        <v>70</v>
      </c>
      <c r="O10" s="132">
        <v>11</v>
      </c>
      <c r="P10" s="133">
        <v>15</v>
      </c>
      <c r="Q10" s="133" t="s">
        <v>72</v>
      </c>
      <c r="R10" s="133" t="s">
        <v>73</v>
      </c>
      <c r="S10" s="5" t="s">
        <v>68</v>
      </c>
      <c r="T10" s="5" t="s">
        <v>68</v>
      </c>
      <c r="U10" s="132"/>
      <c r="V10" s="4"/>
    </row>
    <row r="11" spans="1:22">
      <c r="A11" s="7" t="s">
        <v>57</v>
      </c>
      <c r="B11" s="24" t="s">
        <v>58</v>
      </c>
      <c r="C11" s="19" t="s">
        <v>123</v>
      </c>
      <c r="D11" s="5" t="s">
        <v>124</v>
      </c>
      <c r="E11" s="7" t="s">
        <v>99</v>
      </c>
      <c r="F11" s="22"/>
      <c r="G11" s="9" t="s">
        <v>93</v>
      </c>
      <c r="H11" s="131" t="s">
        <v>94</v>
      </c>
      <c r="I11" s="131">
        <f t="shared" si="1"/>
        <v>1.2</v>
      </c>
      <c r="J11" s="131" t="s">
        <v>117</v>
      </c>
      <c r="K11" s="131">
        <f>120/80</f>
        <v>1.5</v>
      </c>
      <c r="L11" s="131" t="s">
        <v>107</v>
      </c>
      <c r="M11" s="131">
        <f>53/60</f>
        <v>0.8833333333333333</v>
      </c>
      <c r="N11" s="134">
        <v>120</v>
      </c>
      <c r="O11" s="134">
        <v>8</v>
      </c>
      <c r="P11" s="134">
        <v>20</v>
      </c>
      <c r="Q11" s="132" t="s">
        <v>66</v>
      </c>
      <c r="R11" s="133" t="s">
        <v>67</v>
      </c>
      <c r="S11" s="5" t="s">
        <v>68</v>
      </c>
      <c r="T11" s="5" t="s">
        <v>68</v>
      </c>
      <c r="U11" s="141"/>
      <c r="V11" s="22"/>
    </row>
    <row r="12" spans="1:22">
      <c r="A12" s="7" t="s">
        <v>57</v>
      </c>
      <c r="B12" s="24" t="s">
        <v>58</v>
      </c>
      <c r="C12" s="19" t="s">
        <v>125</v>
      </c>
      <c r="D12" s="5">
        <v>11124315</v>
      </c>
      <c r="E12" s="7" t="s">
        <v>75</v>
      </c>
      <c r="F12" s="22"/>
      <c r="G12" s="9" t="s">
        <v>93</v>
      </c>
      <c r="H12" s="9" t="s">
        <v>94</v>
      </c>
      <c r="I12" s="131">
        <f t="shared" si="1"/>
        <v>1.2</v>
      </c>
      <c r="J12" s="148" t="s">
        <v>117</v>
      </c>
      <c r="K12" s="131">
        <f>120/80</f>
        <v>1.5</v>
      </c>
      <c r="L12" s="148" t="s">
        <v>118</v>
      </c>
      <c r="M12" s="131">
        <f>43/60</f>
        <v>0.71666666666666667</v>
      </c>
      <c r="N12" s="7">
        <v>90</v>
      </c>
      <c r="O12" s="7">
        <v>8</v>
      </c>
      <c r="P12" s="5">
        <v>15</v>
      </c>
      <c r="Q12" s="12" t="s">
        <v>66</v>
      </c>
      <c r="R12" s="5" t="s">
        <v>73</v>
      </c>
      <c r="S12" s="5" t="s">
        <v>68</v>
      </c>
      <c r="T12" s="5" t="s">
        <v>68</v>
      </c>
      <c r="U12" s="22"/>
      <c r="V12" s="22"/>
    </row>
    <row r="13" spans="1:22">
      <c r="A13" s="7" t="s">
        <v>57</v>
      </c>
      <c r="B13" s="24" t="s">
        <v>58</v>
      </c>
      <c r="C13" s="19" t="s">
        <v>126</v>
      </c>
      <c r="D13" s="5">
        <v>11124353</v>
      </c>
      <c r="E13" s="7" t="s">
        <v>75</v>
      </c>
      <c r="F13" s="22"/>
      <c r="G13" s="9" t="s">
        <v>93</v>
      </c>
      <c r="H13" s="9" t="s">
        <v>94</v>
      </c>
      <c r="I13" s="131">
        <f t="shared" si="1"/>
        <v>1.2</v>
      </c>
      <c r="J13" s="9" t="s">
        <v>101</v>
      </c>
      <c r="K13" s="131">
        <f t="shared" ref="K13" si="3">165/80</f>
        <v>2.0625</v>
      </c>
      <c r="L13" s="9" t="s">
        <v>107</v>
      </c>
      <c r="M13" s="131">
        <f t="shared" ref="M13" si="4">53/60</f>
        <v>0.8833333333333333</v>
      </c>
      <c r="N13" s="7">
        <v>120</v>
      </c>
      <c r="O13" s="7">
        <v>8</v>
      </c>
      <c r="P13" s="7">
        <v>30</v>
      </c>
      <c r="Q13" s="12" t="s">
        <v>103</v>
      </c>
      <c r="R13" s="5" t="s">
        <v>73</v>
      </c>
      <c r="S13" s="5" t="s">
        <v>68</v>
      </c>
      <c r="T13" s="5" t="s">
        <v>68</v>
      </c>
      <c r="U13" s="22"/>
      <c r="V13" s="22"/>
    </row>
    <row r="14" spans="1:22">
      <c r="A14" s="7" t="s">
        <v>57</v>
      </c>
      <c r="B14" s="24" t="s">
        <v>58</v>
      </c>
      <c r="C14" s="155" t="s">
        <v>28</v>
      </c>
      <c r="D14" s="136">
        <v>11149934</v>
      </c>
      <c r="E14" s="7" t="s">
        <v>99</v>
      </c>
      <c r="F14" s="7" t="s">
        <v>127</v>
      </c>
      <c r="G14" s="9" t="s">
        <v>93</v>
      </c>
      <c r="H14" s="131" t="s">
        <v>94</v>
      </c>
      <c r="I14" s="131">
        <f t="shared" si="1"/>
        <v>1.2</v>
      </c>
      <c r="J14" s="148" t="s">
        <v>117</v>
      </c>
      <c r="K14" s="131">
        <f>120/80</f>
        <v>1.5</v>
      </c>
      <c r="L14" s="148" t="s">
        <v>118</v>
      </c>
      <c r="M14" s="131">
        <f>43/60</f>
        <v>0.71666666666666667</v>
      </c>
      <c r="N14" s="133" t="s">
        <v>108</v>
      </c>
      <c r="O14" s="132">
        <v>11</v>
      </c>
      <c r="P14" s="134">
        <v>20</v>
      </c>
      <c r="Q14" s="132" t="s">
        <v>66</v>
      </c>
      <c r="R14" s="5" t="s">
        <v>128</v>
      </c>
      <c r="S14" s="140">
        <v>10</v>
      </c>
      <c r="T14" s="140">
        <v>275</v>
      </c>
      <c r="U14" s="22"/>
      <c r="V14" s="22"/>
    </row>
    <row r="15" spans="1:22">
      <c r="A15" s="180"/>
      <c r="B15" s="181"/>
      <c r="C15" s="182"/>
      <c r="E15" s="180"/>
      <c r="F15" s="183"/>
      <c r="G15" s="124"/>
      <c r="H15" s="184"/>
      <c r="I15" s="184"/>
    </row>
    <row r="16" spans="1:22">
      <c r="F16" t="s">
        <v>129</v>
      </c>
      <c r="G16" s="124" t="s">
        <v>76</v>
      </c>
      <c r="H16" s="124" t="s">
        <v>130</v>
      </c>
      <c r="I16" s="124" t="s">
        <v>131</v>
      </c>
      <c r="J16" s="124" t="s">
        <v>132</v>
      </c>
      <c r="K16" s="124" t="s">
        <v>133</v>
      </c>
      <c r="L16" s="124" t="s">
        <v>134</v>
      </c>
      <c r="M16" s="149" t="s">
        <v>135</v>
      </c>
      <c r="N16" s="124" t="s">
        <v>136</v>
      </c>
      <c r="O16" s="126" t="s">
        <v>137</v>
      </c>
      <c r="P16" s="124" t="s">
        <v>138</v>
      </c>
      <c r="Q16" s="127" t="s">
        <v>139</v>
      </c>
      <c r="R16" s="128" t="s">
        <v>140</v>
      </c>
      <c r="S16" s="125" t="s">
        <v>141</v>
      </c>
      <c r="T16" s="125" t="s">
        <v>142</v>
      </c>
    </row>
    <row r="17" spans="6:20">
      <c r="F17" t="s">
        <v>143</v>
      </c>
      <c r="G17" s="9" t="s">
        <v>28</v>
      </c>
      <c r="H17" s="9" t="s">
        <v>94</v>
      </c>
      <c r="I17" s="9">
        <v>1.2</v>
      </c>
      <c r="J17" s="9" t="s">
        <v>117</v>
      </c>
      <c r="K17" s="9">
        <v>1.5</v>
      </c>
      <c r="L17" s="9" t="s">
        <v>118</v>
      </c>
      <c r="M17" s="9">
        <v>0.7</v>
      </c>
      <c r="N17" s="133" t="s">
        <v>108</v>
      </c>
      <c r="O17" s="7">
        <v>11</v>
      </c>
      <c r="P17" s="133">
        <v>20</v>
      </c>
      <c r="Q17" s="133" t="s">
        <v>72</v>
      </c>
      <c r="R17" s="5" t="s">
        <v>128</v>
      </c>
      <c r="S17" s="133">
        <v>10</v>
      </c>
      <c r="T17" s="133">
        <v>275</v>
      </c>
    </row>
    <row r="18" spans="6:20">
      <c r="F18" t="s">
        <v>144</v>
      </c>
      <c r="G18" s="186" t="s">
        <v>26</v>
      </c>
      <c r="H18" s="131" t="s">
        <v>94</v>
      </c>
      <c r="I18" s="131">
        <v>1.2</v>
      </c>
      <c r="J18" s="131" t="s">
        <v>101</v>
      </c>
      <c r="K18" s="131">
        <v>2.1</v>
      </c>
      <c r="L18" s="131" t="s">
        <v>107</v>
      </c>
      <c r="M18" s="131">
        <v>0.9</v>
      </c>
      <c r="N18" s="133">
        <v>120</v>
      </c>
      <c r="O18" s="133">
        <v>8</v>
      </c>
      <c r="P18" s="133">
        <v>15</v>
      </c>
      <c r="Q18" s="133" t="s">
        <v>103</v>
      </c>
      <c r="R18" s="133" t="s">
        <v>67</v>
      </c>
      <c r="S18" s="5" t="s">
        <v>68</v>
      </c>
      <c r="T18" s="5" t="s">
        <v>68</v>
      </c>
    </row>
    <row r="20" spans="6:20">
      <c r="F20" s="124" t="s">
        <v>87</v>
      </c>
      <c r="G20" t="s">
        <v>145</v>
      </c>
    </row>
    <row r="21" spans="6:20">
      <c r="G21" t="s">
        <v>146</v>
      </c>
    </row>
    <row r="27" spans="6:20">
      <c r="F27" t="s">
        <v>147</v>
      </c>
    </row>
    <row r="28" spans="6:20">
      <c r="F28" t="s">
        <v>144</v>
      </c>
      <c r="G28" s="124" t="s">
        <v>148</v>
      </c>
      <c r="H28" s="9" t="s">
        <v>94</v>
      </c>
      <c r="I28" s="9">
        <v>1.2</v>
      </c>
      <c r="J28" s="9" t="s">
        <v>117</v>
      </c>
      <c r="K28" s="9">
        <v>1.5</v>
      </c>
      <c r="L28" s="9" t="s">
        <v>118</v>
      </c>
      <c r="M28" s="9">
        <v>0.7</v>
      </c>
      <c r="N28" s="7">
        <v>90</v>
      </c>
      <c r="O28" s="7">
        <v>8</v>
      </c>
      <c r="P28" s="133">
        <v>15</v>
      </c>
      <c r="Q28" s="133" t="s">
        <v>72</v>
      </c>
    </row>
    <row r="29" spans="6:20">
      <c r="F29" t="s">
        <v>143</v>
      </c>
      <c r="G29" s="124" t="s">
        <v>111</v>
      </c>
      <c r="H29" s="131" t="s">
        <v>94</v>
      </c>
      <c r="I29" s="131">
        <v>1.2</v>
      </c>
      <c r="J29" s="131" t="s">
        <v>101</v>
      </c>
      <c r="K29" s="131">
        <v>2.1</v>
      </c>
      <c r="L29" s="131" t="s">
        <v>107</v>
      </c>
      <c r="M29" s="131">
        <v>0.9</v>
      </c>
      <c r="N29" s="133">
        <v>120</v>
      </c>
      <c r="O29" s="133">
        <v>8</v>
      </c>
      <c r="P29" s="133">
        <v>20</v>
      </c>
      <c r="Q29" s="133" t="s">
        <v>103</v>
      </c>
      <c r="R29" s="133" t="s">
        <v>67</v>
      </c>
      <c r="S29" s="133">
        <v>10</v>
      </c>
      <c r="T29" s="133">
        <v>275</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B059-57F6-49EC-B8CF-79AF8AF4DC0F}">
  <dimension ref="A1:V26"/>
  <sheetViews>
    <sheetView topLeftCell="F4" workbookViewId="0">
      <selection activeCell="M23" activeCellId="1" sqref="M21 M23"/>
    </sheetView>
  </sheetViews>
  <sheetFormatPr defaultRowHeight="14.45"/>
  <cols>
    <col min="3" max="3" width="33.140625" customWidth="1"/>
    <col min="4" max="4" width="9.42578125" bestFit="1" customWidth="1"/>
    <col min="6" max="6" width="22.5703125" customWidth="1"/>
    <col min="7" max="7" width="27" customWidth="1"/>
    <col min="8" max="8" width="14.42578125" customWidth="1"/>
    <col min="9" max="9" width="11.42578125" customWidth="1"/>
    <col min="10" max="10" width="18.42578125" customWidth="1"/>
    <col min="11" max="11" width="12.140625" customWidth="1"/>
    <col min="12" max="12" width="22.5703125" customWidth="1"/>
    <col min="13" max="13" width="11.42578125" customWidth="1"/>
    <col min="17" max="17" width="15.5703125" customWidth="1"/>
  </cols>
  <sheetData>
    <row r="1" spans="1:22" ht="51.95">
      <c r="A1" s="1" t="s">
        <v>38</v>
      </c>
      <c r="B1" s="1" t="s">
        <v>39</v>
      </c>
      <c r="C1" s="1" t="s">
        <v>40</v>
      </c>
      <c r="D1" s="1" t="s">
        <v>41</v>
      </c>
      <c r="E1" s="2" t="s">
        <v>42</v>
      </c>
      <c r="F1" s="3" t="s">
        <v>43</v>
      </c>
      <c r="G1" s="1" t="s">
        <v>44</v>
      </c>
      <c r="H1" s="1" t="s">
        <v>45</v>
      </c>
      <c r="I1" s="135" t="s">
        <v>4</v>
      </c>
      <c r="J1" s="1" t="s">
        <v>46</v>
      </c>
      <c r="K1" s="135" t="s">
        <v>6</v>
      </c>
      <c r="L1" s="1" t="s">
        <v>47</v>
      </c>
      <c r="M1" s="135" t="s">
        <v>8</v>
      </c>
      <c r="N1" s="1" t="s">
        <v>48</v>
      </c>
      <c r="O1" s="1" t="s">
        <v>49</v>
      </c>
      <c r="P1" s="1" t="s">
        <v>50</v>
      </c>
      <c r="Q1" s="1" t="s">
        <v>51</v>
      </c>
      <c r="R1" s="1" t="s">
        <v>52</v>
      </c>
      <c r="S1" s="1" t="s">
        <v>53</v>
      </c>
      <c r="T1" s="1" t="s">
        <v>54</v>
      </c>
      <c r="U1" s="1" t="s">
        <v>55</v>
      </c>
    </row>
    <row r="2" spans="1:22">
      <c r="A2" s="4" t="s">
        <v>57</v>
      </c>
      <c r="B2" s="5" t="s">
        <v>90</v>
      </c>
      <c r="C2" s="158" t="s">
        <v>23</v>
      </c>
      <c r="D2" s="5">
        <v>11038211</v>
      </c>
      <c r="E2" s="4" t="s">
        <v>60</v>
      </c>
      <c r="F2" s="8" t="s">
        <v>149</v>
      </c>
      <c r="G2" s="5" t="s">
        <v>150</v>
      </c>
      <c r="H2" s="5" t="s">
        <v>118</v>
      </c>
      <c r="I2" s="131">
        <f>43/30</f>
        <v>1.4333333333333333</v>
      </c>
      <c r="J2" s="164" t="s">
        <v>95</v>
      </c>
      <c r="K2" s="131">
        <f>150/95</f>
        <v>1.5789473684210527</v>
      </c>
      <c r="L2" s="164" t="s">
        <v>151</v>
      </c>
      <c r="M2" s="131">
        <f>63.5/85</f>
        <v>0.74705882352941178</v>
      </c>
      <c r="N2" s="5">
        <v>120</v>
      </c>
      <c r="O2" s="5">
        <v>8</v>
      </c>
      <c r="P2" s="5">
        <v>20</v>
      </c>
      <c r="Q2" s="5" t="s">
        <v>152</v>
      </c>
      <c r="R2" s="5" t="s">
        <v>97</v>
      </c>
      <c r="S2" s="5" t="s">
        <v>68</v>
      </c>
      <c r="T2" s="5" t="s">
        <v>68</v>
      </c>
      <c r="U2" s="5"/>
    </row>
    <row r="3" spans="1:22">
      <c r="A3" s="4" t="s">
        <v>57</v>
      </c>
      <c r="B3" s="5" t="s">
        <v>90</v>
      </c>
      <c r="C3" s="6" t="s">
        <v>153</v>
      </c>
      <c r="D3" s="240">
        <v>11051381</v>
      </c>
      <c r="E3" s="7" t="s">
        <v>99</v>
      </c>
      <c r="F3" s="8" t="s">
        <v>92</v>
      </c>
      <c r="G3" s="5" t="s">
        <v>150</v>
      </c>
      <c r="H3" s="9" t="s">
        <v>118</v>
      </c>
      <c r="I3" s="131">
        <f>43/30</f>
        <v>1.4333333333333333</v>
      </c>
      <c r="J3" s="9" t="s">
        <v>154</v>
      </c>
      <c r="K3" s="131">
        <f>200/95</f>
        <v>2.1052631578947367</v>
      </c>
      <c r="L3" s="9" t="s">
        <v>151</v>
      </c>
      <c r="M3" s="131">
        <f>63.5/85</f>
        <v>0.74705882352941178</v>
      </c>
      <c r="N3" s="5">
        <v>90</v>
      </c>
      <c r="O3" s="5">
        <v>8</v>
      </c>
      <c r="P3" s="5">
        <v>20</v>
      </c>
      <c r="Q3" s="5" t="s">
        <v>152</v>
      </c>
      <c r="R3" s="5" t="s">
        <v>97</v>
      </c>
      <c r="S3" s="5" t="s">
        <v>68</v>
      </c>
      <c r="T3" s="5" t="s">
        <v>68</v>
      </c>
      <c r="U3" s="5"/>
    </row>
    <row r="4" spans="1:22">
      <c r="A4" s="4" t="s">
        <v>57</v>
      </c>
      <c r="B4" s="5" t="s">
        <v>90</v>
      </c>
      <c r="C4" s="11" t="s">
        <v>155</v>
      </c>
      <c r="D4" s="241">
        <v>11053588</v>
      </c>
      <c r="E4" s="7" t="s">
        <v>99</v>
      </c>
      <c r="F4" s="8" t="s">
        <v>156</v>
      </c>
      <c r="G4" s="5" t="s">
        <v>150</v>
      </c>
      <c r="H4" s="5" t="s">
        <v>103</v>
      </c>
      <c r="I4" s="9">
        <f>38/30</f>
        <v>1.2666666666666666</v>
      </c>
      <c r="J4" s="9" t="s">
        <v>95</v>
      </c>
      <c r="K4" s="131">
        <f>150/95</f>
        <v>1.5789473684210527</v>
      </c>
      <c r="L4" s="9" t="s">
        <v>157</v>
      </c>
      <c r="M4" s="131">
        <f>73.66/85</f>
        <v>0.86658823529411766</v>
      </c>
      <c r="N4" s="5">
        <v>90</v>
      </c>
      <c r="O4" s="5">
        <v>8</v>
      </c>
      <c r="P4" s="5">
        <v>20</v>
      </c>
      <c r="Q4" s="5" t="s">
        <v>103</v>
      </c>
      <c r="R4" s="5" t="s">
        <v>97</v>
      </c>
      <c r="S4" s="5" t="s">
        <v>68</v>
      </c>
      <c r="T4" s="5" t="s">
        <v>68</v>
      </c>
      <c r="U4" s="5"/>
    </row>
    <row r="5" spans="1:22" ht="15.95" customHeight="1">
      <c r="A5" s="4" t="s">
        <v>57</v>
      </c>
      <c r="B5" s="5" t="s">
        <v>90</v>
      </c>
      <c r="C5" s="11" t="s">
        <v>158</v>
      </c>
      <c r="D5" s="241">
        <v>11059028</v>
      </c>
      <c r="E5" s="7" t="s">
        <v>99</v>
      </c>
      <c r="F5" s="8" t="s">
        <v>159</v>
      </c>
      <c r="G5" s="5" t="s">
        <v>150</v>
      </c>
      <c r="H5" s="9" t="s">
        <v>118</v>
      </c>
      <c r="I5" s="131">
        <f>43/30</f>
        <v>1.4333333333333333</v>
      </c>
      <c r="J5" s="9" t="s">
        <v>95</v>
      </c>
      <c r="K5" s="131">
        <f>150/95</f>
        <v>1.5789473684210527</v>
      </c>
      <c r="L5" s="9" t="s">
        <v>160</v>
      </c>
      <c r="M5" s="131">
        <f>61/85</f>
        <v>0.71764705882352942</v>
      </c>
      <c r="N5" s="5">
        <v>120</v>
      </c>
      <c r="O5" s="165">
        <v>4</v>
      </c>
      <c r="P5" s="5">
        <v>20</v>
      </c>
      <c r="Q5" s="5" t="s">
        <v>103</v>
      </c>
      <c r="R5" s="5" t="s">
        <v>97</v>
      </c>
      <c r="S5" s="5" t="s">
        <v>68</v>
      </c>
      <c r="T5" s="5" t="s">
        <v>68</v>
      </c>
      <c r="U5" s="5"/>
    </row>
    <row r="6" spans="1:22">
      <c r="A6" s="4" t="s">
        <v>57</v>
      </c>
      <c r="B6" s="5" t="s">
        <v>90</v>
      </c>
      <c r="C6" s="6" t="s">
        <v>161</v>
      </c>
      <c r="D6" s="5">
        <v>11017472</v>
      </c>
      <c r="E6" s="7" t="s">
        <v>99</v>
      </c>
      <c r="F6" s="8" t="s">
        <v>162</v>
      </c>
      <c r="G6" s="131" t="s">
        <v>150</v>
      </c>
      <c r="H6" s="5" t="s">
        <v>118</v>
      </c>
      <c r="I6" s="9">
        <f>43/30</f>
        <v>1.4333333333333333</v>
      </c>
      <c r="J6" s="5" t="s">
        <v>95</v>
      </c>
      <c r="K6" s="9">
        <f>150/130</f>
        <v>1.1538461538461537</v>
      </c>
      <c r="L6" s="133" t="s">
        <v>157</v>
      </c>
      <c r="M6" s="9">
        <f>73.66/85</f>
        <v>0.86658823529411766</v>
      </c>
      <c r="N6" s="5">
        <v>120</v>
      </c>
      <c r="O6" s="5">
        <v>8</v>
      </c>
      <c r="P6" s="5">
        <v>20</v>
      </c>
      <c r="Q6" s="5" t="s">
        <v>103</v>
      </c>
      <c r="R6" s="5" t="s">
        <v>97</v>
      </c>
      <c r="S6" s="5"/>
      <c r="T6" s="5"/>
      <c r="U6" s="5"/>
      <c r="V6" s="4"/>
    </row>
    <row r="7" spans="1:22">
      <c r="A7" s="4" t="s">
        <v>57</v>
      </c>
      <c r="B7" s="5" t="s">
        <v>58</v>
      </c>
      <c r="C7" s="6" t="s">
        <v>163</v>
      </c>
      <c r="D7" s="5">
        <v>11017389</v>
      </c>
      <c r="E7" s="4" t="s">
        <v>99</v>
      </c>
      <c r="F7" s="8" t="s">
        <v>92</v>
      </c>
      <c r="G7" s="5" t="s">
        <v>150</v>
      </c>
      <c r="H7" s="9" t="s">
        <v>118</v>
      </c>
      <c r="I7" s="131">
        <f>43/30</f>
        <v>1.4333333333333333</v>
      </c>
      <c r="J7" s="9" t="s">
        <v>164</v>
      </c>
      <c r="K7" s="131">
        <f>203/95</f>
        <v>2.1368421052631579</v>
      </c>
      <c r="L7" s="9" t="s">
        <v>102</v>
      </c>
      <c r="M7" s="131">
        <f>74/85</f>
        <v>0.87058823529411766</v>
      </c>
      <c r="N7" s="5">
        <v>90</v>
      </c>
      <c r="O7" s="5">
        <v>8</v>
      </c>
      <c r="P7" s="165">
        <v>30</v>
      </c>
      <c r="Q7" s="5" t="s">
        <v>165</v>
      </c>
      <c r="R7" s="5" t="s">
        <v>104</v>
      </c>
      <c r="S7" s="5" t="s">
        <v>68</v>
      </c>
      <c r="T7" s="5" t="s">
        <v>68</v>
      </c>
      <c r="U7" s="5"/>
    </row>
    <row r="8" spans="1:22">
      <c r="A8" s="4" t="s">
        <v>57</v>
      </c>
      <c r="B8" s="5" t="s">
        <v>58</v>
      </c>
      <c r="C8" s="6" t="s">
        <v>166</v>
      </c>
      <c r="D8" s="240">
        <v>11078391</v>
      </c>
      <c r="E8" s="4" t="s">
        <v>60</v>
      </c>
      <c r="F8" s="8" t="s">
        <v>167</v>
      </c>
      <c r="G8" s="131" t="s">
        <v>150</v>
      </c>
      <c r="H8" s="131" t="s">
        <v>103</v>
      </c>
      <c r="I8" s="131">
        <f>38/30</f>
        <v>1.2666666666666666</v>
      </c>
      <c r="J8" s="131" t="s">
        <v>95</v>
      </c>
      <c r="K8" s="131">
        <f>150/95</f>
        <v>1.5789473684210527</v>
      </c>
      <c r="L8" s="140" t="s">
        <v>107</v>
      </c>
      <c r="M8" s="131">
        <f>53/85</f>
        <v>0.62352941176470589</v>
      </c>
      <c r="N8" s="133">
        <v>90</v>
      </c>
      <c r="O8" s="133">
        <v>8</v>
      </c>
      <c r="P8" s="170">
        <v>30</v>
      </c>
      <c r="Q8" s="133" t="s">
        <v>103</v>
      </c>
      <c r="R8" s="133" t="s">
        <v>97</v>
      </c>
      <c r="S8" s="5" t="s">
        <v>68</v>
      </c>
      <c r="T8" s="5" t="s">
        <v>68</v>
      </c>
      <c r="U8" s="5"/>
    </row>
    <row r="9" spans="1:22" ht="24.95">
      <c r="A9" s="4" t="s">
        <v>57</v>
      </c>
      <c r="B9" s="5" t="s">
        <v>58</v>
      </c>
      <c r="C9" s="243" t="s">
        <v>168</v>
      </c>
      <c r="D9" s="240">
        <v>11079508</v>
      </c>
      <c r="E9" s="143" t="s">
        <v>60</v>
      </c>
      <c r="F9" s="8" t="s">
        <v>169</v>
      </c>
      <c r="G9" s="131" t="s">
        <v>150</v>
      </c>
      <c r="H9" s="131" t="s">
        <v>103</v>
      </c>
      <c r="I9" s="9">
        <f>38/30</f>
        <v>1.2666666666666666</v>
      </c>
      <c r="J9" s="131" t="s">
        <v>170</v>
      </c>
      <c r="K9" s="131">
        <f>200/95</f>
        <v>2.1052631578947367</v>
      </c>
      <c r="L9" s="131" t="s">
        <v>171</v>
      </c>
      <c r="M9" s="131">
        <f>68/85</f>
        <v>0.8</v>
      </c>
      <c r="N9" s="133">
        <v>90</v>
      </c>
      <c r="O9" s="133">
        <v>8</v>
      </c>
      <c r="P9" s="133">
        <v>20</v>
      </c>
      <c r="Q9" s="133" t="s">
        <v>152</v>
      </c>
      <c r="R9" s="133" t="s">
        <v>97</v>
      </c>
      <c r="S9" s="5" t="s">
        <v>68</v>
      </c>
      <c r="T9" s="5" t="s">
        <v>68</v>
      </c>
      <c r="U9" s="5"/>
    </row>
    <row r="10" spans="1:22">
      <c r="A10" s="4" t="s">
        <v>57</v>
      </c>
      <c r="B10" s="5" t="s">
        <v>58</v>
      </c>
      <c r="C10" s="6" t="s">
        <v>172</v>
      </c>
      <c r="D10" s="240">
        <v>11079682</v>
      </c>
      <c r="E10" s="143" t="s">
        <v>99</v>
      </c>
      <c r="F10" s="8" t="s">
        <v>92</v>
      </c>
      <c r="G10" s="131" t="s">
        <v>150</v>
      </c>
      <c r="H10" s="131" t="s">
        <v>118</v>
      </c>
      <c r="I10" s="131">
        <f>43/30</f>
        <v>1.4333333333333333</v>
      </c>
      <c r="J10" s="131" t="s">
        <v>164</v>
      </c>
      <c r="K10" s="131">
        <f>203/95</f>
        <v>2.1368421052631579</v>
      </c>
      <c r="L10" s="131" t="s">
        <v>102</v>
      </c>
      <c r="M10" s="131">
        <f>74/85</f>
        <v>0.87058823529411766</v>
      </c>
      <c r="N10" s="133">
        <v>90</v>
      </c>
      <c r="O10" s="133">
        <v>8</v>
      </c>
      <c r="P10" s="170">
        <v>30</v>
      </c>
      <c r="Q10" s="133" t="s">
        <v>165</v>
      </c>
      <c r="R10" s="133" t="s">
        <v>104</v>
      </c>
      <c r="S10" s="5" t="s">
        <v>68</v>
      </c>
      <c r="T10" s="5" t="s">
        <v>68</v>
      </c>
      <c r="U10" s="5"/>
    </row>
    <row r="11" spans="1:22">
      <c r="A11" s="4" t="s">
        <v>57</v>
      </c>
      <c r="B11" s="12" t="s">
        <v>58</v>
      </c>
      <c r="C11" s="167" t="s">
        <v>173</v>
      </c>
      <c r="D11" s="12">
        <v>11098167</v>
      </c>
      <c r="E11" s="143" t="s">
        <v>60</v>
      </c>
      <c r="F11" s="4" t="s">
        <v>174</v>
      </c>
      <c r="G11" s="131" t="s">
        <v>150</v>
      </c>
      <c r="H11" s="131" t="s">
        <v>103</v>
      </c>
      <c r="I11" s="9">
        <f>38/30</f>
        <v>1.2666666666666666</v>
      </c>
      <c r="J11" s="140" t="s">
        <v>117</v>
      </c>
      <c r="K11" s="131">
        <f>120/95</f>
        <v>1.263157894736842</v>
      </c>
      <c r="L11" s="131" t="s">
        <v>175</v>
      </c>
      <c r="M11" s="131">
        <f>68.58/85</f>
        <v>0.80682352941176472</v>
      </c>
      <c r="N11" s="133">
        <v>90</v>
      </c>
      <c r="O11" s="133">
        <v>8</v>
      </c>
      <c r="P11" s="133">
        <v>15</v>
      </c>
      <c r="Q11" s="132" t="s">
        <v>66</v>
      </c>
      <c r="R11" s="133" t="s">
        <v>67</v>
      </c>
      <c r="S11" s="5" t="s">
        <v>68</v>
      </c>
      <c r="T11" s="5" t="s">
        <v>68</v>
      </c>
      <c r="U11" s="12"/>
    </row>
    <row r="12" spans="1:22" ht="29.1">
      <c r="A12" s="7" t="s">
        <v>57</v>
      </c>
      <c r="B12" s="5" t="s">
        <v>58</v>
      </c>
      <c r="C12" s="17" t="s">
        <v>176</v>
      </c>
      <c r="D12" s="242">
        <v>11082237</v>
      </c>
      <c r="E12" s="134" t="s">
        <v>99</v>
      </c>
      <c r="F12" s="22"/>
      <c r="G12" s="131" t="s">
        <v>150</v>
      </c>
      <c r="H12" s="9" t="s">
        <v>118</v>
      </c>
      <c r="I12" s="131">
        <f>43/30</f>
        <v>1.4333333333333333</v>
      </c>
      <c r="J12" s="131" t="s">
        <v>170</v>
      </c>
      <c r="K12" s="131">
        <f>200/95</f>
        <v>2.1052631578947367</v>
      </c>
      <c r="L12" s="131" t="s">
        <v>102</v>
      </c>
      <c r="M12" s="131">
        <f>74/85</f>
        <v>0.87058823529411766</v>
      </c>
      <c r="N12" s="133">
        <v>120</v>
      </c>
      <c r="O12" s="133">
        <v>8</v>
      </c>
      <c r="P12" s="133">
        <v>15</v>
      </c>
      <c r="Q12" s="133" t="s">
        <v>103</v>
      </c>
      <c r="R12" s="7" t="s">
        <v>97</v>
      </c>
      <c r="S12" s="7" t="s">
        <v>68</v>
      </c>
      <c r="T12" s="7" t="s">
        <v>68</v>
      </c>
      <c r="U12" s="22"/>
    </row>
    <row r="13" spans="1:22">
      <c r="A13" s="7" t="s">
        <v>57</v>
      </c>
      <c r="B13" s="5" t="s">
        <v>58</v>
      </c>
      <c r="C13" s="166" t="s">
        <v>177</v>
      </c>
      <c r="D13" s="21">
        <v>11120417</v>
      </c>
      <c r="E13" s="7" t="s">
        <v>99</v>
      </c>
      <c r="F13" s="7" t="s">
        <v>178</v>
      </c>
      <c r="G13" s="131" t="s">
        <v>150</v>
      </c>
      <c r="H13" s="9" t="s">
        <v>103</v>
      </c>
      <c r="I13" s="9">
        <f>38/30</f>
        <v>1.2666666666666666</v>
      </c>
      <c r="J13" s="131" t="s">
        <v>179</v>
      </c>
      <c r="K13" s="131">
        <f>130/95</f>
        <v>1.368421052631579</v>
      </c>
      <c r="L13" s="131" t="s">
        <v>180</v>
      </c>
      <c r="M13" s="131">
        <f>58/85</f>
        <v>0.68235294117647061</v>
      </c>
      <c r="N13" s="133">
        <v>90</v>
      </c>
      <c r="O13" s="133">
        <v>8</v>
      </c>
      <c r="P13" s="134">
        <v>20</v>
      </c>
      <c r="Q13" s="132" t="s">
        <v>103</v>
      </c>
      <c r="R13" s="134" t="s">
        <v>181</v>
      </c>
      <c r="S13" s="133">
        <v>10</v>
      </c>
      <c r="T13" s="133">
        <v>275</v>
      </c>
      <c r="U13" s="22"/>
    </row>
    <row r="14" spans="1:22">
      <c r="A14" s="7" t="s">
        <v>57</v>
      </c>
      <c r="B14" s="5" t="s">
        <v>58</v>
      </c>
      <c r="C14" s="17" t="s">
        <v>182</v>
      </c>
      <c r="D14" s="21">
        <v>11121440</v>
      </c>
      <c r="E14" s="7" t="s">
        <v>99</v>
      </c>
      <c r="F14" s="22"/>
      <c r="G14" s="131" t="s">
        <v>150</v>
      </c>
      <c r="H14" s="9" t="s">
        <v>183</v>
      </c>
      <c r="I14" s="131">
        <f t="shared" ref="I14" si="0">43/30</f>
        <v>1.4333333333333333</v>
      </c>
      <c r="J14" s="20" t="s">
        <v>184</v>
      </c>
      <c r="K14" s="27">
        <f>180/95</f>
        <v>1.8947368421052631</v>
      </c>
      <c r="L14" s="9" t="s">
        <v>185</v>
      </c>
      <c r="M14" s="131">
        <f>65/85</f>
        <v>0.76470588235294112</v>
      </c>
      <c r="N14" s="7">
        <v>70</v>
      </c>
      <c r="O14" s="7">
        <v>8</v>
      </c>
      <c r="P14" s="7">
        <v>20</v>
      </c>
      <c r="Q14" s="12" t="s">
        <v>103</v>
      </c>
      <c r="R14" s="5" t="s">
        <v>97</v>
      </c>
      <c r="S14" s="5" t="s">
        <v>68</v>
      </c>
      <c r="T14" s="5" t="s">
        <v>68</v>
      </c>
      <c r="U14" s="22"/>
    </row>
    <row r="15" spans="1:22">
      <c r="A15" s="7" t="s">
        <v>57</v>
      </c>
      <c r="B15" s="5" t="s">
        <v>58</v>
      </c>
      <c r="C15" s="11" t="s">
        <v>186</v>
      </c>
      <c r="D15" s="21">
        <v>11130407</v>
      </c>
      <c r="E15" s="7" t="s">
        <v>99</v>
      </c>
      <c r="F15" s="22"/>
      <c r="G15" s="131" t="s">
        <v>150</v>
      </c>
      <c r="H15" s="9" t="s">
        <v>103</v>
      </c>
      <c r="I15" s="9">
        <f>38/30</f>
        <v>1.2666666666666666</v>
      </c>
      <c r="J15" s="131" t="s">
        <v>170</v>
      </c>
      <c r="K15" s="131">
        <f>200/95</f>
        <v>2.1052631578947367</v>
      </c>
      <c r="L15" s="131" t="s">
        <v>171</v>
      </c>
      <c r="M15" s="131">
        <f>68/85</f>
        <v>0.8</v>
      </c>
      <c r="N15" s="133">
        <v>90</v>
      </c>
      <c r="O15" s="133">
        <v>8</v>
      </c>
      <c r="P15" s="134">
        <v>20</v>
      </c>
      <c r="Q15" s="132" t="s">
        <v>66</v>
      </c>
      <c r="R15" s="139" t="s">
        <v>187</v>
      </c>
      <c r="S15" s="5" t="s">
        <v>68</v>
      </c>
      <c r="T15" s="5" t="s">
        <v>68</v>
      </c>
      <c r="U15" s="22"/>
    </row>
    <row r="16" spans="1:22">
      <c r="A16" s="172" t="s">
        <v>57</v>
      </c>
      <c r="B16" s="172" t="s">
        <v>58</v>
      </c>
      <c r="C16" s="157" t="s">
        <v>25</v>
      </c>
      <c r="D16" s="174">
        <v>11139480</v>
      </c>
      <c r="E16" s="172" t="s">
        <v>99</v>
      </c>
      <c r="F16" s="175" t="s">
        <v>188</v>
      </c>
      <c r="G16" s="173" t="s">
        <v>150</v>
      </c>
      <c r="H16" s="172" t="s">
        <v>103</v>
      </c>
      <c r="I16" s="172">
        <v>1.3</v>
      </c>
      <c r="J16" s="178" t="s">
        <v>179</v>
      </c>
      <c r="K16" s="175">
        <v>1.5</v>
      </c>
      <c r="L16" s="179" t="s">
        <v>189</v>
      </c>
      <c r="M16" s="131">
        <f>51.5/85</f>
        <v>0.60588235294117643</v>
      </c>
      <c r="N16" s="175">
        <v>90</v>
      </c>
      <c r="O16" s="175">
        <v>8</v>
      </c>
      <c r="P16" s="175">
        <v>30</v>
      </c>
      <c r="Q16" s="175" t="s">
        <v>190</v>
      </c>
      <c r="R16" s="176" t="s">
        <v>187</v>
      </c>
      <c r="S16" s="179">
        <v>10</v>
      </c>
      <c r="T16" s="179">
        <v>275</v>
      </c>
      <c r="U16" s="175"/>
    </row>
    <row r="19" spans="6:20">
      <c r="G19" s="124" t="s">
        <v>76</v>
      </c>
      <c r="H19" s="124" t="s">
        <v>191</v>
      </c>
      <c r="I19" s="124" t="s">
        <v>192</v>
      </c>
      <c r="J19" s="125" t="s">
        <v>193</v>
      </c>
      <c r="K19" s="125" t="s">
        <v>194</v>
      </c>
      <c r="L19" s="124" t="s">
        <v>195</v>
      </c>
      <c r="M19" s="124" t="s">
        <v>196</v>
      </c>
      <c r="N19" s="125" t="s">
        <v>136</v>
      </c>
      <c r="O19" s="125" t="s">
        <v>197</v>
      </c>
      <c r="P19" s="125" t="s">
        <v>138</v>
      </c>
      <c r="Q19" s="125" t="s">
        <v>198</v>
      </c>
      <c r="R19" s="125" t="s">
        <v>199</v>
      </c>
      <c r="S19" s="125"/>
    </row>
    <row r="20" spans="6:20">
      <c r="F20" t="s">
        <v>144</v>
      </c>
      <c r="G20" s="9" t="s">
        <v>23</v>
      </c>
      <c r="H20" s="5" t="s">
        <v>118</v>
      </c>
      <c r="I20" s="131">
        <f>43/30</f>
        <v>1.4333333333333333</v>
      </c>
      <c r="J20" s="133" t="s">
        <v>95</v>
      </c>
      <c r="K20" s="131">
        <f>150/95</f>
        <v>1.5789473684210527</v>
      </c>
      <c r="L20" s="133" t="s">
        <v>151</v>
      </c>
      <c r="M20" s="131">
        <f>63.5/85</f>
        <v>0.74705882352941178</v>
      </c>
      <c r="N20" s="5">
        <v>120</v>
      </c>
      <c r="O20" s="5">
        <v>8</v>
      </c>
      <c r="P20" s="5">
        <v>20</v>
      </c>
      <c r="Q20" s="5" t="s">
        <v>152</v>
      </c>
      <c r="R20" s="5" t="s">
        <v>97</v>
      </c>
      <c r="S20" s="133"/>
    </row>
    <row r="21" spans="6:20">
      <c r="F21" t="s">
        <v>143</v>
      </c>
      <c r="G21" s="177" t="s">
        <v>25</v>
      </c>
      <c r="H21" s="172" t="s">
        <v>103</v>
      </c>
      <c r="I21" s="172">
        <v>1.3</v>
      </c>
      <c r="J21" s="173" t="s">
        <v>179</v>
      </c>
      <c r="K21" s="175">
        <v>1.5</v>
      </c>
      <c r="L21" s="175" t="s">
        <v>189</v>
      </c>
      <c r="M21" s="257">
        <f>51.5/85</f>
        <v>0.60588235294117643</v>
      </c>
      <c r="N21" s="175">
        <v>90</v>
      </c>
      <c r="O21" s="175">
        <v>8</v>
      </c>
      <c r="P21" s="175">
        <v>30</v>
      </c>
      <c r="Q21" s="175" t="s">
        <v>190</v>
      </c>
      <c r="R21" s="176" t="s">
        <v>187</v>
      </c>
      <c r="S21" s="175">
        <v>10</v>
      </c>
      <c r="T21" s="175">
        <v>275</v>
      </c>
    </row>
    <row r="22" spans="6:20">
      <c r="F22" s="254" t="s">
        <v>200</v>
      </c>
      <c r="G22" s="253" t="s">
        <v>177</v>
      </c>
      <c r="H22" s="131" t="s">
        <v>103</v>
      </c>
      <c r="I22" s="131">
        <f>38/30</f>
        <v>1.2666666666666666</v>
      </c>
      <c r="J22" s="131" t="s">
        <v>201</v>
      </c>
      <c r="K22" s="131">
        <f>150/95</f>
        <v>1.5789473684210527</v>
      </c>
      <c r="L22" s="131" t="s">
        <v>180</v>
      </c>
      <c r="M22" s="131">
        <f>58/85</f>
        <v>0.68235294117647061</v>
      </c>
      <c r="N22" s="133">
        <v>90</v>
      </c>
      <c r="O22" s="133">
        <v>8</v>
      </c>
      <c r="P22" s="134">
        <v>20</v>
      </c>
      <c r="Q22" s="132" t="s">
        <v>103</v>
      </c>
      <c r="R22" s="134" t="s">
        <v>181</v>
      </c>
      <c r="S22" s="133">
        <v>10</v>
      </c>
      <c r="T22" s="133">
        <v>275</v>
      </c>
    </row>
    <row r="23" spans="6:20">
      <c r="F23" s="255" t="s">
        <v>202</v>
      </c>
      <c r="G23" s="255" t="s">
        <v>203</v>
      </c>
      <c r="H23" s="255" t="s">
        <v>204</v>
      </c>
      <c r="I23" s="255">
        <f>39/30</f>
        <v>1.3</v>
      </c>
      <c r="J23" s="255" t="s">
        <v>205</v>
      </c>
      <c r="K23" s="256">
        <f>120/95</f>
        <v>1.263157894736842</v>
      </c>
      <c r="L23" s="255" t="s">
        <v>206</v>
      </c>
      <c r="M23" s="256">
        <f>48/85</f>
        <v>0.56470588235294117</v>
      </c>
      <c r="N23" s="255">
        <v>90</v>
      </c>
      <c r="O23" s="255">
        <v>8</v>
      </c>
      <c r="P23" s="255">
        <v>20</v>
      </c>
      <c r="Q23" s="255" t="s">
        <v>207</v>
      </c>
      <c r="R23" s="255"/>
      <c r="S23" s="255"/>
      <c r="T23" s="255"/>
    </row>
    <row r="25" spans="6:20">
      <c r="F25" s="124" t="s">
        <v>87</v>
      </c>
      <c r="G25" t="s">
        <v>208</v>
      </c>
    </row>
    <row r="26" spans="6:20">
      <c r="G26" t="s">
        <v>209</v>
      </c>
    </row>
  </sheetData>
  <autoFilter ref="A1:V1" xr:uid="{CD88B059-57F6-49EC-B8CF-79AF8AF4DC0F}"/>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11A1F-1325-4F63-A691-D83BB93A721E}">
  <sheetPr filterMode="1"/>
  <dimension ref="A1:V14"/>
  <sheetViews>
    <sheetView workbookViewId="0">
      <selection activeCell="C14" sqref="C14"/>
    </sheetView>
  </sheetViews>
  <sheetFormatPr defaultRowHeight="14.45"/>
  <cols>
    <col min="1" max="1" width="8.140625" customWidth="1"/>
    <col min="2" max="2" width="7.42578125" customWidth="1"/>
    <col min="3" max="3" width="35.5703125" customWidth="1"/>
    <col min="6" max="6" width="18.140625" customWidth="1"/>
    <col min="7" max="7" width="27.5703125" customWidth="1"/>
    <col min="8" max="8" width="15.5703125" customWidth="1"/>
    <col min="9" max="9" width="6.28515625" customWidth="1"/>
    <col min="10" max="10" width="17.5703125" customWidth="1"/>
    <col min="11" max="11" width="7.85546875" customWidth="1"/>
    <col min="12" max="12" width="14.85546875" customWidth="1"/>
    <col min="13" max="13" width="7.85546875" customWidth="1"/>
    <col min="17" max="17" width="14.42578125" customWidth="1"/>
    <col min="18" max="18" width="11" customWidth="1"/>
  </cols>
  <sheetData>
    <row r="1" spans="1:22" ht="51.95">
      <c r="A1" s="1" t="s">
        <v>38</v>
      </c>
      <c r="B1" s="1" t="s">
        <v>39</v>
      </c>
      <c r="C1" s="1" t="s">
        <v>40</v>
      </c>
      <c r="D1" s="1" t="s">
        <v>41</v>
      </c>
      <c r="E1" s="2" t="s">
        <v>42</v>
      </c>
      <c r="F1" s="3" t="s">
        <v>43</v>
      </c>
      <c r="G1" s="1" t="s">
        <v>44</v>
      </c>
      <c r="H1" s="1" t="s">
        <v>45</v>
      </c>
      <c r="I1" s="135" t="s">
        <v>4</v>
      </c>
      <c r="J1" s="1" t="s">
        <v>46</v>
      </c>
      <c r="K1" s="135" t="s">
        <v>6</v>
      </c>
      <c r="L1" s="1" t="s">
        <v>47</v>
      </c>
      <c r="M1" s="135" t="s">
        <v>8</v>
      </c>
      <c r="N1" s="1" t="s">
        <v>48</v>
      </c>
      <c r="O1" s="1" t="s">
        <v>49</v>
      </c>
      <c r="P1" s="1" t="s">
        <v>50</v>
      </c>
      <c r="Q1" s="1" t="s">
        <v>51</v>
      </c>
      <c r="R1" s="1" t="s">
        <v>52</v>
      </c>
      <c r="S1" s="1" t="s">
        <v>53</v>
      </c>
      <c r="T1" s="1" t="s">
        <v>54</v>
      </c>
      <c r="U1" s="1" t="s">
        <v>55</v>
      </c>
      <c r="V1" s="3"/>
    </row>
    <row r="2" spans="1:22">
      <c r="A2" s="4" t="s">
        <v>57</v>
      </c>
      <c r="B2" s="5" t="s">
        <v>90</v>
      </c>
      <c r="C2" s="6" t="s">
        <v>210</v>
      </c>
      <c r="D2" s="5">
        <v>11039987</v>
      </c>
      <c r="E2" s="4" t="s">
        <v>60</v>
      </c>
      <c r="F2" s="4" t="s">
        <v>211</v>
      </c>
      <c r="G2" s="5" t="s">
        <v>212</v>
      </c>
      <c r="H2" s="9" t="s">
        <v>152</v>
      </c>
      <c r="I2" s="9">
        <f>51/38</f>
        <v>1.3421052631578947</v>
      </c>
      <c r="J2" s="131" t="s">
        <v>164</v>
      </c>
      <c r="K2" s="131">
        <f>203/130</f>
        <v>1.5615384615384615</v>
      </c>
      <c r="L2" s="131" t="s">
        <v>213</v>
      </c>
      <c r="M2" s="9">
        <f>86.36/100</f>
        <v>0.86360000000000003</v>
      </c>
      <c r="N2" s="5">
        <v>120</v>
      </c>
      <c r="O2" s="5">
        <v>11</v>
      </c>
      <c r="P2" s="5">
        <v>20</v>
      </c>
      <c r="Q2" s="5" t="s">
        <v>103</v>
      </c>
      <c r="R2" s="5" t="s">
        <v>97</v>
      </c>
      <c r="S2" s="5"/>
      <c r="T2" s="5"/>
      <c r="U2" s="5"/>
      <c r="V2" s="4"/>
    </row>
    <row r="3" spans="1:22">
      <c r="A3" s="4" t="s">
        <v>57</v>
      </c>
      <c r="B3" s="5" t="s">
        <v>90</v>
      </c>
      <c r="C3" s="6" t="s">
        <v>214</v>
      </c>
      <c r="D3" s="5">
        <v>11050116</v>
      </c>
      <c r="E3" s="143" t="s">
        <v>60</v>
      </c>
      <c r="F3" s="8" t="s">
        <v>92</v>
      </c>
      <c r="G3" s="5" t="s">
        <v>212</v>
      </c>
      <c r="H3" s="9" t="s">
        <v>152</v>
      </c>
      <c r="I3" s="9">
        <f>51/38</f>
        <v>1.3421052631578947</v>
      </c>
      <c r="J3" s="9" t="s">
        <v>164</v>
      </c>
      <c r="K3" s="9">
        <f>203/130</f>
        <v>1.5615384615384615</v>
      </c>
      <c r="L3" s="9" t="s">
        <v>175</v>
      </c>
      <c r="M3" s="9">
        <f>68.58/100</f>
        <v>0.68579999999999997</v>
      </c>
      <c r="N3" s="5">
        <v>90</v>
      </c>
      <c r="O3" s="5">
        <v>11</v>
      </c>
      <c r="P3" s="5">
        <v>20</v>
      </c>
      <c r="Q3" s="5" t="s">
        <v>103</v>
      </c>
      <c r="R3" s="5" t="s">
        <v>97</v>
      </c>
      <c r="S3" s="5"/>
      <c r="T3" s="5"/>
      <c r="U3" s="5"/>
      <c r="V3" s="4"/>
    </row>
    <row r="4" spans="1:22">
      <c r="A4" s="4" t="s">
        <v>57</v>
      </c>
      <c r="B4" s="5" t="s">
        <v>58</v>
      </c>
      <c r="C4" s="6" t="s">
        <v>215</v>
      </c>
      <c r="D4" s="5">
        <v>11035259</v>
      </c>
      <c r="E4" s="4" t="s">
        <v>99</v>
      </c>
      <c r="F4" s="8" t="s">
        <v>216</v>
      </c>
      <c r="G4" s="5" t="s">
        <v>217</v>
      </c>
      <c r="H4" s="9" t="s">
        <v>152</v>
      </c>
      <c r="I4" s="9">
        <f>51/38</f>
        <v>1.3421052631578947</v>
      </c>
      <c r="J4" s="131" t="s">
        <v>170</v>
      </c>
      <c r="K4" s="131">
        <f>200/130</f>
        <v>1.5384615384615385</v>
      </c>
      <c r="L4" s="131" t="s">
        <v>102</v>
      </c>
      <c r="M4" s="9">
        <f>74/100</f>
        <v>0.74</v>
      </c>
      <c r="N4" s="5">
        <v>90</v>
      </c>
      <c r="O4" s="165">
        <v>4</v>
      </c>
      <c r="P4" s="5">
        <v>20</v>
      </c>
      <c r="Q4" s="5" t="s">
        <v>152</v>
      </c>
      <c r="R4" s="5" t="s">
        <v>97</v>
      </c>
      <c r="S4" s="5"/>
      <c r="T4" s="5"/>
      <c r="U4" s="5"/>
      <c r="V4" s="4"/>
    </row>
    <row r="5" spans="1:22">
      <c r="A5" s="4" t="s">
        <v>57</v>
      </c>
      <c r="B5" s="12" t="s">
        <v>58</v>
      </c>
      <c r="C5" s="19" t="s">
        <v>218</v>
      </c>
      <c r="D5" s="12">
        <v>11119925</v>
      </c>
      <c r="E5" s="4" t="s">
        <v>99</v>
      </c>
      <c r="F5" s="4" t="s">
        <v>219</v>
      </c>
      <c r="G5" s="5" t="s">
        <v>212</v>
      </c>
      <c r="H5" s="9" t="s">
        <v>152</v>
      </c>
      <c r="I5" s="9">
        <f t="shared" ref="I5:I7" si="0">51/38</f>
        <v>1.3421052631578947</v>
      </c>
      <c r="J5" s="27" t="s">
        <v>184</v>
      </c>
      <c r="K5" s="27">
        <f>180/130</f>
        <v>1.3846153846153846</v>
      </c>
      <c r="L5" s="27" t="s">
        <v>220</v>
      </c>
      <c r="M5" s="20">
        <f>78/100</f>
        <v>0.78</v>
      </c>
      <c r="N5" s="12">
        <v>90</v>
      </c>
      <c r="O5" s="12">
        <v>8</v>
      </c>
      <c r="P5" s="165">
        <v>30</v>
      </c>
      <c r="Q5" s="5" t="s">
        <v>103</v>
      </c>
      <c r="R5" s="5" t="s">
        <v>97</v>
      </c>
      <c r="S5" s="12"/>
      <c r="T5" s="12"/>
      <c r="U5" s="12"/>
      <c r="V5" s="4"/>
    </row>
    <row r="6" spans="1:22">
      <c r="A6" s="7" t="s">
        <v>57</v>
      </c>
      <c r="B6" s="5" t="s">
        <v>58</v>
      </c>
      <c r="C6" s="17" t="s">
        <v>221</v>
      </c>
      <c r="D6" s="21">
        <v>11079703</v>
      </c>
      <c r="E6" s="7" t="s">
        <v>60</v>
      </c>
      <c r="F6" s="8" t="s">
        <v>216</v>
      </c>
      <c r="G6" s="5" t="s">
        <v>212</v>
      </c>
      <c r="H6" s="9" t="s">
        <v>152</v>
      </c>
      <c r="I6" s="9">
        <f t="shared" si="0"/>
        <v>1.3421052631578947</v>
      </c>
      <c r="J6" s="131" t="s">
        <v>170</v>
      </c>
      <c r="K6" s="131">
        <f t="shared" ref="K6:K7" si="1">200/130</f>
        <v>1.5384615384615385</v>
      </c>
      <c r="L6" s="131" t="s">
        <v>102</v>
      </c>
      <c r="M6" s="9">
        <f>74/100</f>
        <v>0.74</v>
      </c>
      <c r="N6" s="12">
        <v>90</v>
      </c>
      <c r="O6" s="165">
        <v>4</v>
      </c>
      <c r="P6" s="5">
        <v>20</v>
      </c>
      <c r="Q6" s="5" t="s">
        <v>152</v>
      </c>
      <c r="R6" s="5" t="s">
        <v>97</v>
      </c>
      <c r="S6" s="12"/>
      <c r="T6" s="7"/>
      <c r="U6" s="22"/>
      <c r="V6" s="22"/>
    </row>
    <row r="7" spans="1:22">
      <c r="A7" s="7" t="s">
        <v>57</v>
      </c>
      <c r="B7" s="5" t="s">
        <v>58</v>
      </c>
      <c r="C7" s="166" t="s">
        <v>22</v>
      </c>
      <c r="D7" s="21">
        <v>11090520</v>
      </c>
      <c r="E7" s="7" t="s">
        <v>99</v>
      </c>
      <c r="F7" s="22" t="s">
        <v>222</v>
      </c>
      <c r="G7" s="5" t="s">
        <v>212</v>
      </c>
      <c r="H7" s="9" t="s">
        <v>152</v>
      </c>
      <c r="I7" s="9">
        <f t="shared" si="0"/>
        <v>1.3421052631578947</v>
      </c>
      <c r="J7" s="131" t="s">
        <v>170</v>
      </c>
      <c r="K7" s="9">
        <f t="shared" si="1"/>
        <v>1.5384615384615385</v>
      </c>
      <c r="L7" s="27" t="s">
        <v>220</v>
      </c>
      <c r="M7" s="20">
        <f>78/100</f>
        <v>0.78</v>
      </c>
      <c r="N7" s="5">
        <v>120</v>
      </c>
      <c r="O7" s="12">
        <v>11</v>
      </c>
      <c r="P7" s="5">
        <v>20</v>
      </c>
      <c r="Q7" s="5" t="s">
        <v>103</v>
      </c>
      <c r="R7" s="7"/>
      <c r="S7" s="7"/>
      <c r="T7" s="7"/>
      <c r="U7" s="22"/>
      <c r="V7" s="22"/>
    </row>
    <row r="8" spans="1:22">
      <c r="A8" s="7" t="s">
        <v>57</v>
      </c>
      <c r="B8" s="5" t="s">
        <v>58</v>
      </c>
      <c r="C8" s="23" t="s">
        <v>223</v>
      </c>
      <c r="D8" s="7">
        <v>11090960</v>
      </c>
      <c r="E8" s="7" t="s">
        <v>75</v>
      </c>
      <c r="F8" s="22"/>
      <c r="G8" s="5" t="s">
        <v>212</v>
      </c>
      <c r="H8" s="9" t="s">
        <v>224</v>
      </c>
      <c r="I8" s="9">
        <f>50/38</f>
        <v>1.3157894736842106</v>
      </c>
      <c r="J8" s="9" t="s">
        <v>225</v>
      </c>
      <c r="K8" s="9">
        <f>225/130</f>
        <v>1.7307692307692308</v>
      </c>
      <c r="L8" s="20" t="s">
        <v>226</v>
      </c>
      <c r="M8" s="20">
        <f>92/100</f>
        <v>0.92</v>
      </c>
      <c r="N8" s="12">
        <v>90</v>
      </c>
      <c r="O8" s="12">
        <v>11</v>
      </c>
      <c r="P8" s="5">
        <v>20</v>
      </c>
      <c r="Q8" s="5" t="s">
        <v>152</v>
      </c>
      <c r="R8" s="5" t="s">
        <v>73</v>
      </c>
      <c r="S8" s="5"/>
      <c r="T8" s="7"/>
      <c r="U8" s="22"/>
      <c r="V8" s="22"/>
    </row>
    <row r="11" spans="1:22">
      <c r="F11" s="248" t="s">
        <v>227</v>
      </c>
      <c r="G11" s="124" t="s">
        <v>76</v>
      </c>
      <c r="H11" s="124" t="s">
        <v>228</v>
      </c>
      <c r="I11" s="124" t="s">
        <v>229</v>
      </c>
      <c r="J11" s="124" t="s">
        <v>230</v>
      </c>
      <c r="K11" s="124" t="s">
        <v>231</v>
      </c>
      <c r="L11" s="124" t="s">
        <v>232</v>
      </c>
      <c r="M11" s="124" t="s">
        <v>196</v>
      </c>
      <c r="N11" s="124" t="s">
        <v>233</v>
      </c>
      <c r="O11" s="124" t="s">
        <v>234</v>
      </c>
      <c r="P11" s="124" t="s">
        <v>235</v>
      </c>
      <c r="Q11" s="124" t="s">
        <v>236</v>
      </c>
      <c r="R11" s="124"/>
      <c r="S11" s="124"/>
      <c r="T11" s="129"/>
      <c r="U11" s="129"/>
    </row>
    <row r="12" spans="1:22" ht="24.95">
      <c r="F12" s="249" t="s">
        <v>144</v>
      </c>
      <c r="G12" s="250" t="s">
        <v>22</v>
      </c>
      <c r="H12" s="9" t="s">
        <v>152</v>
      </c>
      <c r="I12" s="9">
        <f t="shared" ref="I12" si="2">51/38</f>
        <v>1.3421052631578947</v>
      </c>
      <c r="J12" s="9" t="s">
        <v>170</v>
      </c>
      <c r="K12" s="9">
        <f t="shared" ref="K12" si="3">200/130</f>
        <v>1.5384615384615385</v>
      </c>
      <c r="L12" s="20" t="s">
        <v>220</v>
      </c>
      <c r="M12" s="20">
        <f>78/100</f>
        <v>0.78</v>
      </c>
      <c r="N12" s="5">
        <v>120</v>
      </c>
      <c r="O12" s="12">
        <v>11</v>
      </c>
      <c r="P12" s="5">
        <v>20</v>
      </c>
      <c r="Q12" s="5" t="s">
        <v>103</v>
      </c>
      <c r="R12" s="7"/>
      <c r="S12" s="12"/>
      <c r="T12" s="130"/>
      <c r="U12" s="130"/>
    </row>
    <row r="13" spans="1:22">
      <c r="G13" s="124"/>
      <c r="H13" s="130"/>
      <c r="I13" s="130"/>
      <c r="J13" s="130"/>
      <c r="K13" s="130"/>
      <c r="L13" s="130"/>
      <c r="M13" s="130"/>
      <c r="N13" s="130"/>
      <c r="O13" s="130"/>
      <c r="P13" s="130"/>
      <c r="Q13" s="130"/>
      <c r="R13" s="130"/>
      <c r="S13" s="130"/>
      <c r="T13" s="130"/>
      <c r="U13" s="130"/>
    </row>
    <row r="14" spans="1:22" ht="82.5" customHeight="1">
      <c r="G14" s="124" t="s">
        <v>87</v>
      </c>
      <c r="H14" t="s">
        <v>237</v>
      </c>
    </row>
  </sheetData>
  <autoFilter ref="A1:V8" xr:uid="{FE611A1F-1325-4F63-A691-D83BB93A721E}">
    <filterColumn colId="1">
      <filters>
        <filter val="SPT"/>
      </filters>
    </filterColumn>
  </autoFilter>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C0535-3E61-4BA3-9822-6112388E6E75}">
  <dimension ref="A1:V2"/>
  <sheetViews>
    <sheetView workbookViewId="0">
      <selection activeCell="F2" sqref="F2"/>
    </sheetView>
  </sheetViews>
  <sheetFormatPr defaultRowHeight="14.45"/>
  <cols>
    <col min="3" max="3" width="18.28515625" customWidth="1"/>
    <col min="7" max="8" width="13.5703125" customWidth="1"/>
    <col min="12" max="12" width="15.140625" customWidth="1"/>
  </cols>
  <sheetData>
    <row r="1" spans="1:22" ht="51.95">
      <c r="A1" s="1" t="s">
        <v>38</v>
      </c>
      <c r="B1" s="1" t="s">
        <v>39</v>
      </c>
      <c r="C1" s="1" t="s">
        <v>40</v>
      </c>
      <c r="D1" s="1" t="s">
        <v>41</v>
      </c>
      <c r="E1" s="2" t="s">
        <v>42</v>
      </c>
      <c r="F1" s="3" t="s">
        <v>43</v>
      </c>
      <c r="G1" s="1" t="s">
        <v>44</v>
      </c>
      <c r="H1" s="1" t="s">
        <v>45</v>
      </c>
      <c r="I1" s="135" t="s">
        <v>4</v>
      </c>
      <c r="J1" s="1" t="s">
        <v>46</v>
      </c>
      <c r="K1" s="135" t="s">
        <v>6</v>
      </c>
      <c r="L1" s="1" t="s">
        <v>47</v>
      </c>
      <c r="M1" s="135" t="s">
        <v>8</v>
      </c>
      <c r="N1" s="1" t="s">
        <v>48</v>
      </c>
      <c r="O1" s="1" t="s">
        <v>49</v>
      </c>
      <c r="P1" s="1" t="s">
        <v>50</v>
      </c>
      <c r="Q1" s="1" t="s">
        <v>51</v>
      </c>
      <c r="R1" s="1" t="s">
        <v>52</v>
      </c>
      <c r="S1" s="1" t="s">
        <v>53</v>
      </c>
      <c r="T1" s="1" t="s">
        <v>54</v>
      </c>
      <c r="U1" s="1" t="s">
        <v>55</v>
      </c>
      <c r="V1" s="3"/>
    </row>
    <row r="2" spans="1:22" ht="24.95">
      <c r="A2" s="4" t="s">
        <v>57</v>
      </c>
      <c r="B2" s="5" t="s">
        <v>58</v>
      </c>
      <c r="C2" s="6" t="s">
        <v>238</v>
      </c>
      <c r="D2" s="5">
        <v>11073317</v>
      </c>
      <c r="E2" s="4" t="s">
        <v>99</v>
      </c>
      <c r="F2" s="8" t="s">
        <v>239</v>
      </c>
      <c r="G2" s="9" t="s">
        <v>240</v>
      </c>
      <c r="H2" s="9" t="s">
        <v>241</v>
      </c>
      <c r="I2" s="9">
        <f>56/44</f>
        <v>1.2727272727272727</v>
      </c>
      <c r="J2" s="9" t="s">
        <v>242</v>
      </c>
      <c r="K2" s="9">
        <f>225/130</f>
        <v>1.7307692307692308</v>
      </c>
      <c r="L2" s="9" t="s">
        <v>243</v>
      </c>
      <c r="M2" s="9">
        <f>86/100</f>
        <v>0.86</v>
      </c>
      <c r="N2" s="5">
        <v>90</v>
      </c>
      <c r="O2" s="5">
        <v>8</v>
      </c>
      <c r="P2" s="5">
        <v>20</v>
      </c>
      <c r="Q2" s="5" t="s">
        <v>152</v>
      </c>
      <c r="R2" s="5" t="s">
        <v>104</v>
      </c>
      <c r="S2" s="5"/>
      <c r="T2" s="5"/>
      <c r="U2" s="5"/>
      <c r="V2" s="4"/>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1F234-4100-46BC-AE14-EEF61F6C7364}">
  <dimension ref="A1:V16"/>
  <sheetViews>
    <sheetView zoomScale="90" zoomScaleNormal="90" workbookViewId="0">
      <selection activeCell="E13" sqref="E13"/>
    </sheetView>
  </sheetViews>
  <sheetFormatPr defaultRowHeight="14.45"/>
  <cols>
    <col min="3" max="3" width="26.85546875" customWidth="1"/>
    <col min="4" max="4" width="11.85546875" customWidth="1"/>
    <col min="6" max="6" width="21.28515625" customWidth="1"/>
    <col min="7" max="7" width="23" customWidth="1"/>
    <col min="8" max="9" width="14.140625" customWidth="1"/>
    <col min="10" max="11" width="14.42578125" customWidth="1"/>
    <col min="12" max="13" width="17" customWidth="1"/>
    <col min="17" max="17" width="13.85546875" customWidth="1"/>
  </cols>
  <sheetData>
    <row r="1" spans="1:22" ht="51.95">
      <c r="A1" s="1" t="s">
        <v>38</v>
      </c>
      <c r="B1" s="1" t="s">
        <v>39</v>
      </c>
      <c r="C1" s="1" t="s">
        <v>40</v>
      </c>
      <c r="D1" s="1" t="s">
        <v>41</v>
      </c>
      <c r="E1" s="2" t="s">
        <v>42</v>
      </c>
      <c r="F1" s="3" t="s">
        <v>43</v>
      </c>
      <c r="G1" s="1" t="s">
        <v>44</v>
      </c>
      <c r="H1" s="1" t="s">
        <v>45</v>
      </c>
      <c r="I1" s="135" t="s">
        <v>4</v>
      </c>
      <c r="J1" s="1" t="s">
        <v>46</v>
      </c>
      <c r="K1" s="135" t="s">
        <v>6</v>
      </c>
      <c r="L1" s="1" t="s">
        <v>47</v>
      </c>
      <c r="M1" s="135" t="s">
        <v>8</v>
      </c>
      <c r="N1" s="1" t="s">
        <v>48</v>
      </c>
      <c r="O1" s="1" t="s">
        <v>49</v>
      </c>
      <c r="P1" s="1" t="s">
        <v>50</v>
      </c>
      <c r="Q1" s="1" t="s">
        <v>51</v>
      </c>
      <c r="R1" s="1" t="s">
        <v>52</v>
      </c>
      <c r="S1" s="1" t="s">
        <v>53</v>
      </c>
      <c r="T1" s="1" t="s">
        <v>54</v>
      </c>
      <c r="U1" s="1" t="s">
        <v>55</v>
      </c>
      <c r="V1" s="3"/>
    </row>
    <row r="2" spans="1:22" ht="24.95">
      <c r="A2" s="4" t="s">
        <v>57</v>
      </c>
      <c r="B2" s="5" t="s">
        <v>58</v>
      </c>
      <c r="C2" s="6" t="s">
        <v>244</v>
      </c>
      <c r="D2" s="5">
        <v>11047626</v>
      </c>
      <c r="E2" s="4" t="s">
        <v>99</v>
      </c>
      <c r="F2" s="8" t="s">
        <v>245</v>
      </c>
      <c r="G2" s="9" t="s">
        <v>246</v>
      </c>
      <c r="H2" s="9" t="s">
        <v>247</v>
      </c>
      <c r="I2" s="9">
        <f>64/50</f>
        <v>1.28</v>
      </c>
      <c r="J2" s="9" t="s">
        <v>248</v>
      </c>
      <c r="K2" s="9">
        <f>260/170</f>
        <v>1.5294117647058822</v>
      </c>
      <c r="L2" s="9" t="s">
        <v>64</v>
      </c>
      <c r="M2" s="9">
        <f>110/160</f>
        <v>0.6875</v>
      </c>
      <c r="N2" s="5">
        <v>90</v>
      </c>
      <c r="O2" s="5">
        <v>4</v>
      </c>
      <c r="P2" s="5">
        <v>30</v>
      </c>
      <c r="Q2" s="5" t="s">
        <v>247</v>
      </c>
      <c r="R2" s="5" t="s">
        <v>97</v>
      </c>
      <c r="S2" s="146">
        <v>10</v>
      </c>
      <c r="T2" s="146">
        <v>430</v>
      </c>
      <c r="U2" s="5"/>
      <c r="V2" s="4"/>
    </row>
    <row r="3" spans="1:22" ht="24.95">
      <c r="A3" s="4" t="s">
        <v>57</v>
      </c>
      <c r="B3" s="5" t="s">
        <v>58</v>
      </c>
      <c r="C3" s="6" t="s">
        <v>249</v>
      </c>
      <c r="D3" s="5">
        <v>11053516</v>
      </c>
      <c r="E3" s="4" t="s">
        <v>99</v>
      </c>
      <c r="F3" s="8" t="s">
        <v>92</v>
      </c>
      <c r="G3" s="9" t="s">
        <v>246</v>
      </c>
      <c r="H3" s="9" t="s">
        <v>247</v>
      </c>
      <c r="I3" s="9">
        <f t="shared" ref="I3:I7" si="0">64/50</f>
        <v>1.28</v>
      </c>
      <c r="J3" s="9" t="s">
        <v>250</v>
      </c>
      <c r="K3" s="9">
        <f>250/170</f>
        <v>1.4705882352941178</v>
      </c>
      <c r="L3" s="9" t="s">
        <v>251</v>
      </c>
      <c r="M3" s="9">
        <f>100/160</f>
        <v>0.625</v>
      </c>
      <c r="N3" s="5" t="s">
        <v>108</v>
      </c>
      <c r="O3" s="5">
        <v>8</v>
      </c>
      <c r="P3" s="5">
        <v>20</v>
      </c>
      <c r="Q3" s="5" t="s">
        <v>152</v>
      </c>
      <c r="R3" s="5" t="s">
        <v>97</v>
      </c>
      <c r="S3" s="146" t="s">
        <v>68</v>
      </c>
      <c r="T3" s="146" t="s">
        <v>68</v>
      </c>
      <c r="U3" s="5"/>
      <c r="V3" s="4"/>
    </row>
    <row r="4" spans="1:22" ht="24.95">
      <c r="A4" s="4" t="s">
        <v>57</v>
      </c>
      <c r="B4" s="5" t="s">
        <v>58</v>
      </c>
      <c r="C4" s="158" t="s">
        <v>17</v>
      </c>
      <c r="D4" s="5">
        <v>11079564</v>
      </c>
      <c r="E4" s="4" t="s">
        <v>60</v>
      </c>
      <c r="F4" s="7" t="s">
        <v>252</v>
      </c>
      <c r="G4" s="9" t="s">
        <v>246</v>
      </c>
      <c r="H4" s="9" t="s">
        <v>247</v>
      </c>
      <c r="I4" s="9">
        <f t="shared" si="0"/>
        <v>1.28</v>
      </c>
      <c r="J4" s="148" t="s">
        <v>250</v>
      </c>
      <c r="K4" s="131">
        <f>250/170</f>
        <v>1.4705882352941178</v>
      </c>
      <c r="L4" s="148" t="s">
        <v>251</v>
      </c>
      <c r="M4" s="9">
        <f>100/160</f>
        <v>0.625</v>
      </c>
      <c r="N4" s="5" t="s">
        <v>108</v>
      </c>
      <c r="O4" s="5">
        <v>8</v>
      </c>
      <c r="P4" s="5">
        <v>20</v>
      </c>
      <c r="Q4" s="5" t="s">
        <v>152</v>
      </c>
      <c r="R4" s="5" t="s">
        <v>97</v>
      </c>
      <c r="S4" s="146" t="s">
        <v>68</v>
      </c>
      <c r="T4" s="146" t="s">
        <v>68</v>
      </c>
      <c r="U4" s="5"/>
      <c r="V4" s="4"/>
    </row>
    <row r="5" spans="1:22">
      <c r="A5" s="4" t="s">
        <v>57</v>
      </c>
      <c r="B5" s="12" t="s">
        <v>58</v>
      </c>
      <c r="C5" s="19" t="s">
        <v>253</v>
      </c>
      <c r="D5" s="12">
        <v>11119926</v>
      </c>
      <c r="E5" s="4" t="s">
        <v>99</v>
      </c>
      <c r="F5" s="4" t="s">
        <v>254</v>
      </c>
      <c r="G5" s="9" t="s">
        <v>246</v>
      </c>
      <c r="H5" s="9" t="s">
        <v>247</v>
      </c>
      <c r="I5" s="9">
        <f t="shared" si="0"/>
        <v>1.28</v>
      </c>
      <c r="J5" s="142" t="s">
        <v>184</v>
      </c>
      <c r="K5" s="27">
        <f>180/170</f>
        <v>1.0588235294117647</v>
      </c>
      <c r="L5" s="142" t="s">
        <v>220</v>
      </c>
      <c r="M5" s="27">
        <f>78/160</f>
        <v>0.48749999999999999</v>
      </c>
      <c r="N5" s="12">
        <v>90</v>
      </c>
      <c r="O5" s="12">
        <v>8</v>
      </c>
      <c r="P5" s="165">
        <v>30</v>
      </c>
      <c r="Q5" s="5" t="s">
        <v>103</v>
      </c>
      <c r="R5" s="5" t="s">
        <v>97</v>
      </c>
      <c r="S5" s="146" t="s">
        <v>68</v>
      </c>
      <c r="T5" s="146" t="s">
        <v>68</v>
      </c>
      <c r="U5" s="12"/>
      <c r="V5" s="4"/>
    </row>
    <row r="6" spans="1:22">
      <c r="A6" s="7" t="s">
        <v>57</v>
      </c>
      <c r="B6" s="5" t="s">
        <v>58</v>
      </c>
      <c r="C6" s="156" t="s">
        <v>19</v>
      </c>
      <c r="D6" s="21">
        <v>11096549</v>
      </c>
      <c r="E6" s="7" t="s">
        <v>99</v>
      </c>
      <c r="F6" s="22"/>
      <c r="G6" s="9" t="s">
        <v>246</v>
      </c>
      <c r="H6" s="9" t="s">
        <v>247</v>
      </c>
      <c r="I6" s="9">
        <f t="shared" si="0"/>
        <v>1.28</v>
      </c>
      <c r="J6" s="9" t="s">
        <v>225</v>
      </c>
      <c r="K6" s="9">
        <f>225/170</f>
        <v>1.3235294117647058</v>
      </c>
      <c r="L6" s="9" t="s">
        <v>243</v>
      </c>
      <c r="M6" s="9">
        <f>86/160</f>
        <v>0.53749999999999998</v>
      </c>
      <c r="N6" s="12">
        <v>90</v>
      </c>
      <c r="O6" s="12">
        <v>8</v>
      </c>
      <c r="P6" s="12">
        <v>30</v>
      </c>
      <c r="Q6" s="5" t="s">
        <v>152</v>
      </c>
      <c r="R6" s="5" t="s">
        <v>97</v>
      </c>
      <c r="S6" s="145">
        <v>10</v>
      </c>
      <c r="T6" s="145">
        <v>450</v>
      </c>
      <c r="U6" s="22"/>
      <c r="V6" s="22"/>
    </row>
    <row r="7" spans="1:22" ht="29.1">
      <c r="A7" s="7" t="s">
        <v>57</v>
      </c>
      <c r="B7" s="24" t="s">
        <v>58</v>
      </c>
      <c r="C7" s="166" t="s">
        <v>255</v>
      </c>
      <c r="D7" s="21">
        <v>11117007</v>
      </c>
      <c r="E7" s="7" t="s">
        <v>99</v>
      </c>
      <c r="F7" s="7"/>
      <c r="G7" s="9" t="s">
        <v>246</v>
      </c>
      <c r="H7" s="9" t="s">
        <v>247</v>
      </c>
      <c r="I7" s="9">
        <f t="shared" si="0"/>
        <v>1.28</v>
      </c>
      <c r="J7" s="131" t="s">
        <v>170</v>
      </c>
      <c r="K7" s="131">
        <f>200/170</f>
        <v>1.1764705882352942</v>
      </c>
      <c r="L7" s="131" t="s">
        <v>251</v>
      </c>
      <c r="M7" s="9">
        <f>100/160</f>
        <v>0.625</v>
      </c>
      <c r="N7" s="7">
        <v>120</v>
      </c>
      <c r="O7" s="7">
        <v>8</v>
      </c>
      <c r="P7" s="7">
        <v>20</v>
      </c>
      <c r="Q7" s="5" t="s">
        <v>152</v>
      </c>
      <c r="R7" s="22"/>
      <c r="S7" s="146" t="s">
        <v>68</v>
      </c>
      <c r="T7" s="146" t="s">
        <v>68</v>
      </c>
      <c r="U7" s="22"/>
      <c r="V7" s="22"/>
    </row>
    <row r="10" spans="1:22">
      <c r="G10" s="124" t="s">
        <v>76</v>
      </c>
      <c r="H10" s="124" t="s">
        <v>256</v>
      </c>
      <c r="I10" s="124">
        <v>1.3</v>
      </c>
      <c r="J10" s="124" t="s">
        <v>257</v>
      </c>
      <c r="K10" s="124" t="s">
        <v>229</v>
      </c>
      <c r="L10" s="124" t="s">
        <v>258</v>
      </c>
      <c r="M10" s="125" t="s">
        <v>81</v>
      </c>
      <c r="N10" s="124" t="s">
        <v>233</v>
      </c>
      <c r="O10" s="124" t="s">
        <v>259</v>
      </c>
      <c r="P10" s="124" t="s">
        <v>235</v>
      </c>
      <c r="Q10" s="124" t="s">
        <v>260</v>
      </c>
      <c r="R10" s="124" t="s">
        <v>97</v>
      </c>
      <c r="S10" s="124"/>
      <c r="T10" s="124"/>
    </row>
    <row r="11" spans="1:22">
      <c r="G11" s="124" t="s">
        <v>17</v>
      </c>
      <c r="H11" s="9" t="s">
        <v>247</v>
      </c>
      <c r="I11" s="9">
        <f t="shared" ref="I11" si="1">64/50</f>
        <v>1.28</v>
      </c>
      <c r="J11" s="131" t="s">
        <v>250</v>
      </c>
      <c r="K11" s="131">
        <f>250/170</f>
        <v>1.4705882352941178</v>
      </c>
      <c r="L11" s="131" t="s">
        <v>251</v>
      </c>
      <c r="M11" s="9">
        <f>100/160</f>
        <v>0.625</v>
      </c>
      <c r="N11" s="5" t="s">
        <v>108</v>
      </c>
      <c r="O11" s="5">
        <v>8</v>
      </c>
      <c r="P11" s="5">
        <v>20</v>
      </c>
      <c r="Q11" s="5" t="s">
        <v>152</v>
      </c>
      <c r="R11" s="5" t="s">
        <v>97</v>
      </c>
      <c r="S11" s="12"/>
      <c r="T11" s="130"/>
    </row>
    <row r="12" spans="1:22">
      <c r="G12" s="124" t="s">
        <v>19</v>
      </c>
      <c r="H12" s="9" t="s">
        <v>247</v>
      </c>
      <c r="I12" s="9">
        <v>1.3</v>
      </c>
      <c r="J12" s="9" t="s">
        <v>225</v>
      </c>
      <c r="K12" s="9">
        <v>1.3</v>
      </c>
      <c r="L12" s="9" t="s">
        <v>243</v>
      </c>
      <c r="M12" s="9">
        <v>0.5</v>
      </c>
      <c r="N12" s="12">
        <v>90</v>
      </c>
      <c r="O12" s="12">
        <v>8</v>
      </c>
      <c r="P12" s="12">
        <v>30</v>
      </c>
      <c r="Q12" s="5" t="s">
        <v>152</v>
      </c>
      <c r="R12" s="5" t="s">
        <v>97</v>
      </c>
      <c r="S12" s="7">
        <v>10</v>
      </c>
      <c r="T12" s="7">
        <v>450</v>
      </c>
    </row>
    <row r="15" spans="1:22">
      <c r="G15" s="124" t="s">
        <v>87</v>
      </c>
      <c r="H15" t="s">
        <v>261</v>
      </c>
    </row>
    <row r="16" spans="1:22">
      <c r="H16" t="s">
        <v>262</v>
      </c>
    </row>
  </sheetData>
  <autoFilter ref="A1:V1" xr:uid="{C581F234-4100-46BC-AE14-EEF61F6C7364}"/>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3E20-39DB-4A99-A0CF-A9AF2E9CA6ED}">
  <dimension ref="B1:I44"/>
  <sheetViews>
    <sheetView workbookViewId="0">
      <selection activeCell="K14" sqref="K14"/>
    </sheetView>
  </sheetViews>
  <sheetFormatPr defaultRowHeight="14.45"/>
  <cols>
    <col min="2" max="2" width="7" bestFit="1" customWidth="1"/>
    <col min="3" max="3" width="32.140625" customWidth="1"/>
    <col min="4" max="4" width="18.5703125" bestFit="1" customWidth="1"/>
    <col min="8" max="9" width="15.5703125" customWidth="1"/>
  </cols>
  <sheetData>
    <row r="1" spans="2:9" ht="39.950000000000003" customHeight="1">
      <c r="B1" s="1" t="s">
        <v>39</v>
      </c>
      <c r="C1" s="1" t="s">
        <v>40</v>
      </c>
      <c r="D1" s="1" t="s">
        <v>41</v>
      </c>
      <c r="H1" s="150" t="s">
        <v>263</v>
      </c>
      <c r="I1" s="12" t="s">
        <v>264</v>
      </c>
    </row>
    <row r="2" spans="2:9">
      <c r="B2" s="12" t="s">
        <v>58</v>
      </c>
      <c r="C2" s="19" t="s">
        <v>59</v>
      </c>
      <c r="D2" s="12">
        <v>11090265</v>
      </c>
    </row>
    <row r="3" spans="2:9" ht="27.95" customHeight="1">
      <c r="B3" s="12" t="s">
        <v>58</v>
      </c>
      <c r="C3" s="155" t="s">
        <v>31</v>
      </c>
      <c r="D3" s="150">
        <v>11103638</v>
      </c>
    </row>
    <row r="4" spans="2:9">
      <c r="B4" s="12" t="s">
        <v>58</v>
      </c>
      <c r="C4" s="23" t="s">
        <v>74</v>
      </c>
      <c r="D4" s="7">
        <v>11124314</v>
      </c>
    </row>
    <row r="5" spans="2:9">
      <c r="B5" s="5" t="s">
        <v>90</v>
      </c>
      <c r="C5" s="6" t="s">
        <v>91</v>
      </c>
      <c r="D5" s="5">
        <v>11077824</v>
      </c>
    </row>
    <row r="6" spans="2:9">
      <c r="B6" s="5" t="s">
        <v>58</v>
      </c>
      <c r="C6" s="6" t="s">
        <v>98</v>
      </c>
      <c r="D6" s="5">
        <v>11017105</v>
      </c>
    </row>
    <row r="7" spans="2:9">
      <c r="B7" s="5" t="s">
        <v>58</v>
      </c>
      <c r="C7" s="6" t="s">
        <v>105</v>
      </c>
      <c r="D7" s="150">
        <v>11073301</v>
      </c>
    </row>
    <row r="8" spans="2:9">
      <c r="B8" s="5" t="s">
        <v>58</v>
      </c>
      <c r="C8" s="6" t="s">
        <v>109</v>
      </c>
      <c r="D8" s="5">
        <v>11079095</v>
      </c>
    </row>
    <row r="9" spans="2:9">
      <c r="B9" s="5" t="s">
        <v>58</v>
      </c>
      <c r="C9" s="6" t="s">
        <v>26</v>
      </c>
      <c r="D9" s="150">
        <v>11080700</v>
      </c>
    </row>
    <row r="10" spans="2:9">
      <c r="B10" s="5" t="s">
        <v>58</v>
      </c>
      <c r="C10" s="157" t="s">
        <v>111</v>
      </c>
      <c r="D10" s="150">
        <v>11087427</v>
      </c>
    </row>
    <row r="11" spans="2:9">
      <c r="B11" s="12" t="s">
        <v>58</v>
      </c>
      <c r="C11" s="19" t="s">
        <v>113</v>
      </c>
      <c r="D11" s="5">
        <v>11093505</v>
      </c>
    </row>
    <row r="12" spans="2:9">
      <c r="B12" s="12" t="s">
        <v>58</v>
      </c>
      <c r="C12" s="155" t="s">
        <v>115</v>
      </c>
      <c r="D12" s="150">
        <v>11093506</v>
      </c>
    </row>
    <row r="13" spans="2:9">
      <c r="B13" s="12" t="s">
        <v>58</v>
      </c>
      <c r="C13" s="19" t="s">
        <v>119</v>
      </c>
      <c r="D13" s="150">
        <v>11101266</v>
      </c>
    </row>
    <row r="14" spans="2:9">
      <c r="B14" s="24" t="s">
        <v>58</v>
      </c>
      <c r="C14" s="19" t="s">
        <v>123</v>
      </c>
      <c r="D14" s="5" t="s">
        <v>124</v>
      </c>
    </row>
    <row r="15" spans="2:9">
      <c r="B15" s="24" t="s">
        <v>58</v>
      </c>
      <c r="C15" s="19" t="s">
        <v>125</v>
      </c>
      <c r="D15" s="5">
        <v>11124315</v>
      </c>
    </row>
    <row r="16" spans="2:9">
      <c r="B16" s="24" t="s">
        <v>58</v>
      </c>
      <c r="C16" s="19" t="s">
        <v>126</v>
      </c>
      <c r="D16" s="5">
        <v>11124353</v>
      </c>
    </row>
    <row r="17" spans="2:4">
      <c r="B17" s="5" t="s">
        <v>90</v>
      </c>
      <c r="C17" s="171" t="s">
        <v>23</v>
      </c>
      <c r="D17" s="5">
        <v>11038211</v>
      </c>
    </row>
    <row r="18" spans="2:4">
      <c r="B18" s="5" t="s">
        <v>90</v>
      </c>
      <c r="C18" s="6" t="s">
        <v>153</v>
      </c>
      <c r="D18" s="150">
        <v>11051381</v>
      </c>
    </row>
    <row r="19" spans="2:4">
      <c r="B19" s="5" t="s">
        <v>90</v>
      </c>
      <c r="C19" s="11" t="s">
        <v>155</v>
      </c>
      <c r="D19" s="150">
        <v>11053588</v>
      </c>
    </row>
    <row r="20" spans="2:4">
      <c r="B20" s="5" t="s">
        <v>90</v>
      </c>
      <c r="C20" s="11" t="s">
        <v>158</v>
      </c>
      <c r="D20" s="150">
        <v>11059028</v>
      </c>
    </row>
    <row r="21" spans="2:4">
      <c r="B21" s="5" t="s">
        <v>90</v>
      </c>
      <c r="C21" s="6" t="s">
        <v>161</v>
      </c>
      <c r="D21" s="5">
        <v>11017472</v>
      </c>
    </row>
    <row r="22" spans="2:4">
      <c r="B22" s="5" t="s">
        <v>58</v>
      </c>
      <c r="C22" s="6" t="s">
        <v>163</v>
      </c>
      <c r="D22" s="5">
        <v>11017389</v>
      </c>
    </row>
    <row r="23" spans="2:4">
      <c r="B23" s="5" t="s">
        <v>58</v>
      </c>
      <c r="C23" s="6" t="s">
        <v>166</v>
      </c>
      <c r="D23" s="150">
        <v>11078391</v>
      </c>
    </row>
    <row r="24" spans="2:4" ht="24.95">
      <c r="B24" s="5" t="s">
        <v>58</v>
      </c>
      <c r="C24" s="6" t="s">
        <v>265</v>
      </c>
      <c r="D24" s="150">
        <v>11079508</v>
      </c>
    </row>
    <row r="25" spans="2:4">
      <c r="B25" s="5" t="s">
        <v>58</v>
      </c>
      <c r="C25" s="6" t="s">
        <v>172</v>
      </c>
      <c r="D25" s="150">
        <v>11079682</v>
      </c>
    </row>
    <row r="26" spans="2:4">
      <c r="B26" s="12" t="s">
        <v>58</v>
      </c>
      <c r="C26" s="167" t="s">
        <v>173</v>
      </c>
      <c r="D26" s="168">
        <v>11098167</v>
      </c>
    </row>
    <row r="27" spans="2:4" ht="29.1">
      <c r="B27" s="5" t="s">
        <v>58</v>
      </c>
      <c r="C27" s="17" t="s">
        <v>176</v>
      </c>
      <c r="D27" s="169">
        <v>11082237</v>
      </c>
    </row>
    <row r="28" spans="2:4">
      <c r="B28" s="5" t="s">
        <v>58</v>
      </c>
      <c r="C28" s="156" t="s">
        <v>177</v>
      </c>
      <c r="D28" s="169">
        <v>11120417</v>
      </c>
    </row>
    <row r="29" spans="2:4">
      <c r="B29" s="5" t="s">
        <v>58</v>
      </c>
      <c r="C29" s="17" t="s">
        <v>182</v>
      </c>
      <c r="D29" s="21">
        <v>11121440</v>
      </c>
    </row>
    <row r="30" spans="2:4">
      <c r="B30" s="5" t="s">
        <v>58</v>
      </c>
      <c r="C30" s="11" t="s">
        <v>186</v>
      </c>
      <c r="D30" s="169">
        <v>11130407</v>
      </c>
    </row>
    <row r="31" spans="2:4">
      <c r="B31" s="5" t="s">
        <v>90</v>
      </c>
      <c r="C31" s="6" t="s">
        <v>210</v>
      </c>
      <c r="D31" s="169">
        <v>11039987</v>
      </c>
    </row>
    <row r="32" spans="2:4">
      <c r="B32" s="5" t="s">
        <v>90</v>
      </c>
      <c r="C32" s="6" t="s">
        <v>214</v>
      </c>
      <c r="D32" s="169">
        <v>11050116</v>
      </c>
    </row>
    <row r="33" spans="2:4">
      <c r="B33" s="5" t="s">
        <v>58</v>
      </c>
      <c r="C33" s="6" t="s">
        <v>215</v>
      </c>
      <c r="D33" s="5">
        <v>11035259</v>
      </c>
    </row>
    <row r="34" spans="2:4">
      <c r="B34" s="12" t="s">
        <v>58</v>
      </c>
      <c r="C34" s="19" t="s">
        <v>218</v>
      </c>
      <c r="D34" s="168">
        <v>11119925</v>
      </c>
    </row>
    <row r="35" spans="2:4">
      <c r="B35" s="5" t="s">
        <v>58</v>
      </c>
      <c r="C35" s="17" t="s">
        <v>221</v>
      </c>
      <c r="D35" s="169">
        <v>11079703</v>
      </c>
    </row>
    <row r="36" spans="2:4" ht="29.1">
      <c r="B36" s="5" t="s">
        <v>58</v>
      </c>
      <c r="C36" s="17" t="s">
        <v>22</v>
      </c>
      <c r="D36" s="169">
        <v>11090520</v>
      </c>
    </row>
    <row r="37" spans="2:4">
      <c r="B37" s="5" t="s">
        <v>58</v>
      </c>
      <c r="C37" s="23" t="s">
        <v>223</v>
      </c>
      <c r="D37" s="7">
        <v>11090960</v>
      </c>
    </row>
    <row r="38" spans="2:4">
      <c r="B38" s="5" t="s">
        <v>58</v>
      </c>
      <c r="C38" s="158" t="s">
        <v>238</v>
      </c>
      <c r="D38" s="150">
        <v>11073317</v>
      </c>
    </row>
    <row r="39" spans="2:4">
      <c r="B39" s="5" t="s">
        <v>58</v>
      </c>
      <c r="C39" s="6" t="s">
        <v>244</v>
      </c>
      <c r="D39" s="150">
        <v>11047626</v>
      </c>
    </row>
    <row r="40" spans="2:4">
      <c r="B40" s="5" t="s">
        <v>58</v>
      </c>
      <c r="C40" s="6" t="s">
        <v>249</v>
      </c>
      <c r="D40" s="5">
        <v>11053516</v>
      </c>
    </row>
    <row r="41" spans="2:4">
      <c r="B41" s="5" t="s">
        <v>58</v>
      </c>
      <c r="C41" s="158" t="s">
        <v>17</v>
      </c>
      <c r="D41" s="150">
        <v>11079564</v>
      </c>
    </row>
    <row r="42" spans="2:4">
      <c r="B42" s="12" t="s">
        <v>58</v>
      </c>
      <c r="C42" s="19" t="s">
        <v>253</v>
      </c>
      <c r="D42" s="168">
        <v>11119926</v>
      </c>
    </row>
    <row r="43" spans="2:4">
      <c r="B43" s="5" t="s">
        <v>58</v>
      </c>
      <c r="C43" s="156" t="s">
        <v>19</v>
      </c>
      <c r="D43" s="169">
        <v>11096549</v>
      </c>
    </row>
    <row r="44" spans="2:4">
      <c r="B44" s="24" t="s">
        <v>58</v>
      </c>
      <c r="C44" s="166" t="s">
        <v>255</v>
      </c>
      <c r="D44" s="21">
        <v>11117007</v>
      </c>
    </row>
  </sheetData>
  <autoFilter ref="B1:E44" xr:uid="{E393D9F6-DABD-422C-96B3-4ECFD3F7FC7B}"/>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580E-DF33-4420-9681-4BBE63D77429}">
  <sheetPr filterMode="1"/>
  <dimension ref="A1:S62"/>
  <sheetViews>
    <sheetView topLeftCell="A46" workbookViewId="0">
      <selection activeCell="C20" sqref="C20"/>
    </sheetView>
  </sheetViews>
  <sheetFormatPr defaultRowHeight="14.45"/>
  <cols>
    <col min="1" max="1" width="7.85546875" bestFit="1" customWidth="1"/>
    <col min="2" max="2" width="7" bestFit="1" customWidth="1"/>
    <col min="3" max="3" width="34.28515625" customWidth="1"/>
    <col min="4" max="4" width="15.7109375" customWidth="1"/>
    <col min="5" max="5" width="8.28515625" bestFit="1" customWidth="1"/>
    <col min="6" max="6" width="23.5703125" bestFit="1" customWidth="1"/>
    <col min="7" max="7" width="23.85546875" bestFit="1" customWidth="1"/>
    <col min="8" max="8" width="13.5703125" bestFit="1" customWidth="1"/>
    <col min="9" max="10" width="15.140625" bestFit="1" customWidth="1"/>
    <col min="11" max="11" width="8.140625" bestFit="1" customWidth="1"/>
    <col min="12" max="12" width="5.5703125" bestFit="1" customWidth="1"/>
    <col min="13" max="13" width="6.85546875" bestFit="1" customWidth="1"/>
    <col min="14" max="14" width="13.5703125" bestFit="1" customWidth="1"/>
    <col min="15" max="15" width="9.140625" bestFit="1" customWidth="1"/>
    <col min="16" max="16" width="8.5703125" bestFit="1" customWidth="1"/>
    <col min="17" max="17" width="8" bestFit="1" customWidth="1"/>
    <col min="18" max="18" width="8.140625" bestFit="1" customWidth="1"/>
    <col min="19" max="19" width="17.28515625" bestFit="1" customWidth="1"/>
  </cols>
  <sheetData>
    <row r="1" spans="1:19" ht="51.95">
      <c r="A1" s="1" t="s">
        <v>38</v>
      </c>
      <c r="B1" s="1" t="s">
        <v>39</v>
      </c>
      <c r="C1" s="1" t="s">
        <v>40</v>
      </c>
      <c r="D1" s="1" t="s">
        <v>41</v>
      </c>
      <c r="E1" s="2" t="s">
        <v>42</v>
      </c>
      <c r="F1" s="3" t="s">
        <v>43</v>
      </c>
      <c r="G1" s="1" t="s">
        <v>44</v>
      </c>
      <c r="H1" s="1" t="s">
        <v>45</v>
      </c>
      <c r="I1" s="1" t="s">
        <v>46</v>
      </c>
      <c r="J1" s="1" t="s">
        <v>47</v>
      </c>
      <c r="K1" s="1" t="s">
        <v>48</v>
      </c>
      <c r="L1" s="1" t="s">
        <v>49</v>
      </c>
      <c r="M1" s="1" t="s">
        <v>50</v>
      </c>
      <c r="N1" s="1" t="s">
        <v>51</v>
      </c>
      <c r="O1" s="1" t="s">
        <v>52</v>
      </c>
      <c r="P1" s="1" t="s">
        <v>53</v>
      </c>
      <c r="Q1" s="1" t="s">
        <v>54</v>
      </c>
      <c r="R1" s="1" t="s">
        <v>55</v>
      </c>
      <c r="S1" s="3" t="s">
        <v>56</v>
      </c>
    </row>
    <row r="2" spans="1:19" hidden="1">
      <c r="A2" s="4" t="s">
        <v>57</v>
      </c>
      <c r="B2" s="5" t="s">
        <v>90</v>
      </c>
      <c r="C2" s="6" t="s">
        <v>161</v>
      </c>
      <c r="D2" s="5">
        <v>11017472</v>
      </c>
      <c r="E2" s="7" t="s">
        <v>99</v>
      </c>
      <c r="F2" s="8" t="s">
        <v>162</v>
      </c>
      <c r="G2" s="5" t="s">
        <v>266</v>
      </c>
      <c r="H2" s="5" t="s">
        <v>118</v>
      </c>
      <c r="I2" s="5" t="s">
        <v>95</v>
      </c>
      <c r="J2" s="5" t="s">
        <v>157</v>
      </c>
      <c r="K2" s="5">
        <v>120</v>
      </c>
      <c r="L2" s="5">
        <v>8</v>
      </c>
      <c r="M2" s="5">
        <v>20</v>
      </c>
      <c r="N2" s="5" t="s">
        <v>103</v>
      </c>
      <c r="O2" s="5" t="s">
        <v>97</v>
      </c>
      <c r="P2" s="5"/>
      <c r="Q2" s="5"/>
      <c r="R2" s="5"/>
      <c r="S2" s="4" t="s">
        <v>267</v>
      </c>
    </row>
    <row r="3" spans="1:19" hidden="1">
      <c r="A3" s="4" t="s">
        <v>57</v>
      </c>
      <c r="B3" s="5" t="s">
        <v>90</v>
      </c>
      <c r="C3" s="6" t="s">
        <v>23</v>
      </c>
      <c r="D3" s="5">
        <v>11038211</v>
      </c>
      <c r="E3" s="4" t="s">
        <v>60</v>
      </c>
      <c r="F3" s="8" t="s">
        <v>149</v>
      </c>
      <c r="G3" s="5" t="s">
        <v>150</v>
      </c>
      <c r="H3" s="5" t="s">
        <v>118</v>
      </c>
      <c r="I3" s="5" t="s">
        <v>95</v>
      </c>
      <c r="J3" s="5" t="s">
        <v>151</v>
      </c>
      <c r="K3" s="5">
        <v>120</v>
      </c>
      <c r="L3" s="5">
        <v>8</v>
      </c>
      <c r="M3" s="5">
        <v>20</v>
      </c>
      <c r="N3" s="5" t="s">
        <v>152</v>
      </c>
      <c r="O3" s="5" t="s">
        <v>97</v>
      </c>
      <c r="P3" s="5"/>
      <c r="Q3" s="5"/>
      <c r="R3" s="5"/>
      <c r="S3" s="4"/>
    </row>
    <row r="4" spans="1:19" hidden="1">
      <c r="A4" s="4" t="s">
        <v>57</v>
      </c>
      <c r="B4" s="5" t="s">
        <v>90</v>
      </c>
      <c r="C4" s="6" t="s">
        <v>210</v>
      </c>
      <c r="D4" s="5">
        <v>11039987</v>
      </c>
      <c r="E4" s="4" t="s">
        <v>60</v>
      </c>
      <c r="F4" s="4" t="s">
        <v>211</v>
      </c>
      <c r="G4" s="5" t="s">
        <v>212</v>
      </c>
      <c r="H4" s="9" t="s">
        <v>152</v>
      </c>
      <c r="I4" s="9" t="s">
        <v>164</v>
      </c>
      <c r="J4" s="9" t="s">
        <v>213</v>
      </c>
      <c r="K4" s="5">
        <v>120</v>
      </c>
      <c r="L4" s="5">
        <v>11</v>
      </c>
      <c r="M4" s="5">
        <v>20</v>
      </c>
      <c r="N4" s="5" t="s">
        <v>103</v>
      </c>
      <c r="O4" s="5" t="s">
        <v>97</v>
      </c>
      <c r="P4" s="5"/>
      <c r="Q4" s="5"/>
      <c r="R4" s="5"/>
      <c r="S4" s="4" t="s">
        <v>267</v>
      </c>
    </row>
    <row r="5" spans="1:19" hidden="1">
      <c r="A5" s="4" t="s">
        <v>57</v>
      </c>
      <c r="B5" s="5" t="s">
        <v>90</v>
      </c>
      <c r="C5" s="6" t="s">
        <v>214</v>
      </c>
      <c r="D5" s="5">
        <v>11050116</v>
      </c>
      <c r="E5" s="10" t="s">
        <v>60</v>
      </c>
      <c r="F5" s="8" t="s">
        <v>92</v>
      </c>
      <c r="G5" s="5" t="s">
        <v>212</v>
      </c>
      <c r="H5" s="9" t="s">
        <v>152</v>
      </c>
      <c r="I5" s="9" t="s">
        <v>164</v>
      </c>
      <c r="J5" s="9" t="s">
        <v>175</v>
      </c>
      <c r="K5" s="5">
        <v>90</v>
      </c>
      <c r="L5" s="5">
        <v>11</v>
      </c>
      <c r="M5" s="5">
        <v>20</v>
      </c>
      <c r="N5" s="5" t="s">
        <v>103</v>
      </c>
      <c r="O5" s="5" t="s">
        <v>97</v>
      </c>
      <c r="P5" s="5"/>
      <c r="Q5" s="5"/>
      <c r="R5" s="5"/>
      <c r="S5" s="4" t="s">
        <v>267</v>
      </c>
    </row>
    <row r="6" spans="1:19" hidden="1">
      <c r="A6" s="4" t="s">
        <v>57</v>
      </c>
      <c r="B6" s="5" t="s">
        <v>90</v>
      </c>
      <c r="C6" s="6" t="s">
        <v>153</v>
      </c>
      <c r="D6" s="5">
        <v>11051381</v>
      </c>
      <c r="E6" s="7" t="s">
        <v>99</v>
      </c>
      <c r="F6" s="8" t="s">
        <v>92</v>
      </c>
      <c r="G6" s="5" t="s">
        <v>150</v>
      </c>
      <c r="H6" s="9" t="s">
        <v>118</v>
      </c>
      <c r="I6" s="9" t="s">
        <v>154</v>
      </c>
      <c r="J6" s="9" t="s">
        <v>151</v>
      </c>
      <c r="K6" s="5">
        <v>90</v>
      </c>
      <c r="L6" s="5">
        <v>8</v>
      </c>
      <c r="M6" s="5">
        <v>20</v>
      </c>
      <c r="N6" s="5" t="s">
        <v>152</v>
      </c>
      <c r="O6" s="5" t="s">
        <v>97</v>
      </c>
      <c r="P6" s="5"/>
      <c r="Q6" s="5"/>
      <c r="R6" s="5"/>
      <c r="S6" s="4"/>
    </row>
    <row r="7" spans="1:19" hidden="1">
      <c r="A7" s="4" t="s">
        <v>57</v>
      </c>
      <c r="B7" s="5" t="s">
        <v>90</v>
      </c>
      <c r="C7" s="11" t="s">
        <v>155</v>
      </c>
      <c r="D7" s="12">
        <v>11053588</v>
      </c>
      <c r="E7" s="7" t="s">
        <v>99</v>
      </c>
      <c r="F7" s="8" t="s">
        <v>156</v>
      </c>
      <c r="G7" s="5" t="s">
        <v>150</v>
      </c>
      <c r="H7" s="5" t="s">
        <v>103</v>
      </c>
      <c r="I7" s="9" t="s">
        <v>95</v>
      </c>
      <c r="J7" s="9" t="s">
        <v>157</v>
      </c>
      <c r="K7" s="5">
        <v>90</v>
      </c>
      <c r="L7" s="5">
        <v>8</v>
      </c>
      <c r="M7" s="5">
        <v>20</v>
      </c>
      <c r="N7" s="5" t="s">
        <v>103</v>
      </c>
      <c r="O7" s="5" t="s">
        <v>97</v>
      </c>
      <c r="P7" s="5"/>
      <c r="Q7" s="5"/>
      <c r="R7" s="5"/>
      <c r="S7" s="4"/>
    </row>
    <row r="8" spans="1:19" hidden="1">
      <c r="A8" s="4" t="s">
        <v>57</v>
      </c>
      <c r="B8" s="5" t="s">
        <v>90</v>
      </c>
      <c r="C8" s="6" t="s">
        <v>268</v>
      </c>
      <c r="D8" s="12">
        <v>11059028</v>
      </c>
      <c r="E8" s="4" t="s">
        <v>60</v>
      </c>
      <c r="F8" s="8" t="s">
        <v>159</v>
      </c>
      <c r="G8" s="5" t="s">
        <v>266</v>
      </c>
      <c r="H8" s="5" t="s">
        <v>118</v>
      </c>
      <c r="I8" s="9" t="s">
        <v>95</v>
      </c>
      <c r="J8" s="9" t="s">
        <v>269</v>
      </c>
      <c r="K8" s="5">
        <v>120</v>
      </c>
      <c r="L8" s="5">
        <v>4</v>
      </c>
      <c r="M8" s="5">
        <v>20</v>
      </c>
      <c r="N8" s="5" t="s">
        <v>103</v>
      </c>
      <c r="O8" s="5" t="s">
        <v>97</v>
      </c>
      <c r="P8" s="5"/>
      <c r="Q8" s="5"/>
      <c r="R8" s="5"/>
      <c r="S8" s="4"/>
    </row>
    <row r="9" spans="1:19" hidden="1">
      <c r="A9" s="4" t="s">
        <v>57</v>
      </c>
      <c r="B9" s="5" t="s">
        <v>90</v>
      </c>
      <c r="C9" s="6" t="s">
        <v>91</v>
      </c>
      <c r="D9" s="5">
        <v>11077824</v>
      </c>
      <c r="E9" s="4" t="s">
        <v>60</v>
      </c>
      <c r="F9" s="8" t="s">
        <v>92</v>
      </c>
      <c r="G9" s="9" t="s">
        <v>93</v>
      </c>
      <c r="H9" s="5" t="s">
        <v>94</v>
      </c>
      <c r="I9" s="9" t="s">
        <v>95</v>
      </c>
      <c r="J9" s="9" t="s">
        <v>96</v>
      </c>
      <c r="K9" s="5">
        <v>120</v>
      </c>
      <c r="L9" s="5">
        <v>8</v>
      </c>
      <c r="M9" s="5">
        <v>20</v>
      </c>
      <c r="N9" s="5" t="s">
        <v>94</v>
      </c>
      <c r="O9" s="5" t="s">
        <v>97</v>
      </c>
      <c r="P9" s="5"/>
      <c r="Q9" s="5"/>
      <c r="R9" s="5"/>
      <c r="S9" s="4"/>
    </row>
    <row r="10" spans="1:19">
      <c r="A10" s="4" t="s">
        <v>57</v>
      </c>
      <c r="B10" s="5" t="s">
        <v>58</v>
      </c>
      <c r="C10" s="6" t="s">
        <v>98</v>
      </c>
      <c r="D10" s="5">
        <v>11017105</v>
      </c>
      <c r="E10" s="4" t="s">
        <v>99</v>
      </c>
      <c r="F10" s="8" t="s">
        <v>92</v>
      </c>
      <c r="G10" s="5" t="s">
        <v>270</v>
      </c>
      <c r="H10" s="9" t="s">
        <v>100</v>
      </c>
      <c r="I10" s="9" t="s">
        <v>101</v>
      </c>
      <c r="J10" s="9" t="s">
        <v>102</v>
      </c>
      <c r="K10" s="5">
        <v>120</v>
      </c>
      <c r="L10" s="5">
        <v>8</v>
      </c>
      <c r="M10" s="5">
        <v>15</v>
      </c>
      <c r="N10" s="5" t="s">
        <v>103</v>
      </c>
      <c r="O10" s="5" t="s">
        <v>104</v>
      </c>
      <c r="P10" s="5"/>
      <c r="Q10" s="5"/>
      <c r="R10" s="5"/>
      <c r="S10" s="4"/>
    </row>
    <row r="11" spans="1:19">
      <c r="A11" s="4" t="s">
        <v>57</v>
      </c>
      <c r="B11" s="5" t="s">
        <v>58</v>
      </c>
      <c r="C11" s="6" t="s">
        <v>163</v>
      </c>
      <c r="D11" s="5">
        <v>11017389</v>
      </c>
      <c r="E11" s="4" t="s">
        <v>99</v>
      </c>
      <c r="F11" s="8" t="s">
        <v>92</v>
      </c>
      <c r="G11" s="5" t="s">
        <v>271</v>
      </c>
      <c r="H11" s="9" t="s">
        <v>118</v>
      </c>
      <c r="I11" s="9" t="s">
        <v>164</v>
      </c>
      <c r="J11" s="9" t="s">
        <v>102</v>
      </c>
      <c r="K11" s="5">
        <v>90</v>
      </c>
      <c r="L11" s="5">
        <v>8</v>
      </c>
      <c r="M11" s="5">
        <v>30</v>
      </c>
      <c r="N11" s="5" t="s">
        <v>165</v>
      </c>
      <c r="O11" s="5" t="s">
        <v>104</v>
      </c>
      <c r="P11" s="5"/>
      <c r="Q11" s="5"/>
      <c r="R11" s="5"/>
      <c r="S11" s="4"/>
    </row>
    <row r="12" spans="1:19">
      <c r="A12" s="4" t="s">
        <v>57</v>
      </c>
      <c r="B12" s="5" t="s">
        <v>58</v>
      </c>
      <c r="C12" s="6" t="s">
        <v>215</v>
      </c>
      <c r="D12" s="5">
        <v>11035259</v>
      </c>
      <c r="E12" s="4" t="s">
        <v>99</v>
      </c>
      <c r="F12" s="8" t="s">
        <v>216</v>
      </c>
      <c r="G12" s="5" t="s">
        <v>272</v>
      </c>
      <c r="H12" s="9" t="s">
        <v>152</v>
      </c>
      <c r="I12" s="9" t="s">
        <v>170</v>
      </c>
      <c r="J12" s="9" t="s">
        <v>102</v>
      </c>
      <c r="K12" s="5">
        <v>90</v>
      </c>
      <c r="L12" s="5">
        <v>4</v>
      </c>
      <c r="M12" s="5">
        <v>20</v>
      </c>
      <c r="N12" s="5" t="s">
        <v>152</v>
      </c>
      <c r="O12" s="5" t="s">
        <v>97</v>
      </c>
      <c r="P12" s="5">
        <v>20</v>
      </c>
      <c r="Q12" s="5"/>
      <c r="R12" s="5"/>
      <c r="S12" s="4" t="s">
        <v>267</v>
      </c>
    </row>
    <row r="13" spans="1:19">
      <c r="A13" s="4" t="s">
        <v>57</v>
      </c>
      <c r="B13" s="5" t="s">
        <v>58</v>
      </c>
      <c r="C13" s="6" t="s">
        <v>244</v>
      </c>
      <c r="D13" s="5">
        <v>11047626</v>
      </c>
      <c r="E13" s="4" t="s">
        <v>99</v>
      </c>
      <c r="F13" s="8" t="s">
        <v>245</v>
      </c>
      <c r="G13" s="9" t="s">
        <v>246</v>
      </c>
      <c r="H13" s="9" t="s">
        <v>247</v>
      </c>
      <c r="I13" s="9" t="s">
        <v>248</v>
      </c>
      <c r="J13" s="9" t="s">
        <v>64</v>
      </c>
      <c r="K13" s="5">
        <v>90</v>
      </c>
      <c r="L13" s="5">
        <v>4</v>
      </c>
      <c r="M13" s="5">
        <v>30</v>
      </c>
      <c r="N13" s="5" t="s">
        <v>247</v>
      </c>
      <c r="O13" s="5" t="s">
        <v>97</v>
      </c>
      <c r="P13" s="5">
        <v>10</v>
      </c>
      <c r="Q13" s="5"/>
      <c r="R13" s="5"/>
      <c r="S13" s="4" t="s">
        <v>273</v>
      </c>
    </row>
    <row r="14" spans="1:19">
      <c r="A14" s="13" t="s">
        <v>57</v>
      </c>
      <c r="B14" s="14" t="s">
        <v>58</v>
      </c>
      <c r="C14" s="15" t="s">
        <v>274</v>
      </c>
      <c r="D14" s="14">
        <v>11052896</v>
      </c>
      <c r="E14" s="4" t="s">
        <v>99</v>
      </c>
      <c r="F14" s="13" t="s">
        <v>92</v>
      </c>
      <c r="G14" s="16" t="s">
        <v>150</v>
      </c>
      <c r="H14" s="16" t="s">
        <v>103</v>
      </c>
      <c r="I14" s="16" t="s">
        <v>170</v>
      </c>
      <c r="J14" s="16" t="s">
        <v>171</v>
      </c>
      <c r="K14" s="14">
        <v>90</v>
      </c>
      <c r="L14" s="14">
        <v>8</v>
      </c>
      <c r="M14" s="14">
        <v>20</v>
      </c>
      <c r="N14" s="14" t="s">
        <v>152</v>
      </c>
      <c r="O14" s="14" t="s">
        <v>97</v>
      </c>
      <c r="P14" s="14">
        <v>30</v>
      </c>
      <c r="Q14" s="14"/>
      <c r="R14" s="14"/>
      <c r="S14" s="13"/>
    </row>
    <row r="15" spans="1:19">
      <c r="A15" s="4" t="s">
        <v>57</v>
      </c>
      <c r="B15" s="5" t="s">
        <v>58</v>
      </c>
      <c r="C15" s="6" t="s">
        <v>249</v>
      </c>
      <c r="D15" s="5">
        <v>11053516</v>
      </c>
      <c r="E15" s="4" t="s">
        <v>99</v>
      </c>
      <c r="F15" s="8" t="s">
        <v>92</v>
      </c>
      <c r="G15" s="9" t="s">
        <v>246</v>
      </c>
      <c r="H15" s="9" t="s">
        <v>247</v>
      </c>
      <c r="I15" s="9" t="s">
        <v>250</v>
      </c>
      <c r="J15" s="9" t="s">
        <v>251</v>
      </c>
      <c r="K15" s="5" t="s">
        <v>108</v>
      </c>
      <c r="L15" s="5">
        <v>8</v>
      </c>
      <c r="M15" s="5">
        <v>20</v>
      </c>
      <c r="N15" s="5" t="s">
        <v>152</v>
      </c>
      <c r="O15" s="5" t="s">
        <v>97</v>
      </c>
      <c r="P15" s="5">
        <v>30</v>
      </c>
      <c r="Q15" s="5"/>
      <c r="R15" s="5"/>
      <c r="S15" s="4"/>
    </row>
    <row r="16" spans="1:19">
      <c r="A16" s="4" t="s">
        <v>57</v>
      </c>
      <c r="B16" s="5" t="s">
        <v>58</v>
      </c>
      <c r="C16" s="6" t="s">
        <v>105</v>
      </c>
      <c r="D16" s="5">
        <v>11073301</v>
      </c>
      <c r="E16" s="4" t="s">
        <v>60</v>
      </c>
      <c r="F16" s="8" t="s">
        <v>106</v>
      </c>
      <c r="G16" s="9" t="s">
        <v>275</v>
      </c>
      <c r="H16" s="9" t="s">
        <v>94</v>
      </c>
      <c r="I16" s="9" t="s">
        <v>101</v>
      </c>
      <c r="J16" s="9" t="s">
        <v>107</v>
      </c>
      <c r="K16" s="5" t="s">
        <v>108</v>
      </c>
      <c r="L16" s="5">
        <v>8</v>
      </c>
      <c r="M16" s="5">
        <v>30</v>
      </c>
      <c r="N16" s="5" t="s">
        <v>103</v>
      </c>
      <c r="O16" s="5" t="s">
        <v>67</v>
      </c>
      <c r="P16" s="5">
        <v>30</v>
      </c>
      <c r="Q16" s="5"/>
      <c r="R16" s="5"/>
      <c r="S16" s="4" t="s">
        <v>267</v>
      </c>
    </row>
    <row r="17" spans="1:19">
      <c r="A17" s="4" t="s">
        <v>57</v>
      </c>
      <c r="B17" s="5" t="s">
        <v>58</v>
      </c>
      <c r="C17" s="6" t="s">
        <v>238</v>
      </c>
      <c r="D17" s="5">
        <v>11073317</v>
      </c>
      <c r="E17" s="4" t="s">
        <v>99</v>
      </c>
      <c r="F17" s="8" t="s">
        <v>239</v>
      </c>
      <c r="G17" s="9" t="s">
        <v>240</v>
      </c>
      <c r="H17" s="9" t="s">
        <v>241</v>
      </c>
      <c r="I17" s="9" t="s">
        <v>242</v>
      </c>
      <c r="J17" s="9" t="s">
        <v>243</v>
      </c>
      <c r="K17" s="5">
        <v>90</v>
      </c>
      <c r="L17" s="5">
        <v>8</v>
      </c>
      <c r="M17" s="5">
        <v>20</v>
      </c>
      <c r="N17" s="5" t="s">
        <v>152</v>
      </c>
      <c r="O17" s="5" t="s">
        <v>104</v>
      </c>
      <c r="P17" s="5"/>
      <c r="Q17" s="5"/>
      <c r="R17" s="5"/>
      <c r="S17" s="4"/>
    </row>
    <row r="18" spans="1:19">
      <c r="A18" s="4" t="s">
        <v>57</v>
      </c>
      <c r="B18" s="5" t="s">
        <v>58</v>
      </c>
      <c r="C18" s="6" t="s">
        <v>166</v>
      </c>
      <c r="D18" s="5">
        <v>11078391</v>
      </c>
      <c r="E18" s="4" t="s">
        <v>60</v>
      </c>
      <c r="F18" s="8" t="s">
        <v>167</v>
      </c>
      <c r="G18" s="9" t="s">
        <v>150</v>
      </c>
      <c r="H18" s="9" t="s">
        <v>103</v>
      </c>
      <c r="I18" s="9" t="s">
        <v>95</v>
      </c>
      <c r="J18" s="9" t="s">
        <v>107</v>
      </c>
      <c r="K18" s="5">
        <v>90</v>
      </c>
      <c r="L18" s="5">
        <v>8</v>
      </c>
      <c r="M18" s="5">
        <v>30</v>
      </c>
      <c r="N18" s="5" t="s">
        <v>103</v>
      </c>
      <c r="O18" s="5" t="s">
        <v>97</v>
      </c>
      <c r="P18" s="5">
        <v>30</v>
      </c>
      <c r="Q18" s="5"/>
      <c r="R18" s="5"/>
      <c r="S18" s="4" t="s">
        <v>267</v>
      </c>
    </row>
    <row r="19" spans="1:19">
      <c r="A19" s="4" t="s">
        <v>57</v>
      </c>
      <c r="B19" s="5" t="s">
        <v>58</v>
      </c>
      <c r="C19" s="6" t="s">
        <v>109</v>
      </c>
      <c r="D19" s="5">
        <v>11079095</v>
      </c>
      <c r="E19" s="4" t="s">
        <v>99</v>
      </c>
      <c r="F19" s="8" t="s">
        <v>92</v>
      </c>
      <c r="G19" s="9" t="s">
        <v>275</v>
      </c>
      <c r="H19" s="9" t="s">
        <v>94</v>
      </c>
      <c r="I19" s="9" t="s">
        <v>101</v>
      </c>
      <c r="J19" s="9" t="s">
        <v>107</v>
      </c>
      <c r="K19" s="5" t="s">
        <v>108</v>
      </c>
      <c r="L19" s="5">
        <v>8</v>
      </c>
      <c r="M19" s="5">
        <v>15</v>
      </c>
      <c r="N19" s="5" t="s">
        <v>103</v>
      </c>
      <c r="O19" s="5" t="s">
        <v>67</v>
      </c>
      <c r="P19" s="5">
        <v>15</v>
      </c>
      <c r="Q19" s="5"/>
      <c r="R19" s="5"/>
      <c r="S19" s="4"/>
    </row>
    <row r="20" spans="1:19" ht="24.95">
      <c r="A20" s="4" t="s">
        <v>57</v>
      </c>
      <c r="B20" s="5" t="s">
        <v>58</v>
      </c>
      <c r="C20" s="6" t="s">
        <v>265</v>
      </c>
      <c r="D20" s="5">
        <v>11079508</v>
      </c>
      <c r="E20" s="10" t="s">
        <v>60</v>
      </c>
      <c r="F20" s="8" t="s">
        <v>169</v>
      </c>
      <c r="G20" s="9" t="s">
        <v>150</v>
      </c>
      <c r="H20" s="9" t="s">
        <v>103</v>
      </c>
      <c r="I20" s="9" t="s">
        <v>170</v>
      </c>
      <c r="J20" s="9" t="s">
        <v>171</v>
      </c>
      <c r="K20" s="5">
        <v>90</v>
      </c>
      <c r="L20" s="5">
        <v>8</v>
      </c>
      <c r="M20" s="5">
        <v>20</v>
      </c>
      <c r="N20" s="5" t="s">
        <v>152</v>
      </c>
      <c r="O20" s="5" t="s">
        <v>97</v>
      </c>
      <c r="P20" s="5">
        <v>20</v>
      </c>
      <c r="Q20" s="5"/>
      <c r="R20" s="5"/>
      <c r="S20" s="4" t="s">
        <v>267</v>
      </c>
    </row>
    <row r="21" spans="1:19">
      <c r="A21" s="4" t="s">
        <v>57</v>
      </c>
      <c r="B21" s="5" t="s">
        <v>58</v>
      </c>
      <c r="C21" s="6" t="s">
        <v>17</v>
      </c>
      <c r="D21" s="5">
        <v>11079564</v>
      </c>
      <c r="E21" s="4" t="s">
        <v>60</v>
      </c>
      <c r="F21" s="8" t="s">
        <v>92</v>
      </c>
      <c r="G21" s="9" t="s">
        <v>246</v>
      </c>
      <c r="H21" s="9" t="s">
        <v>247</v>
      </c>
      <c r="I21" s="9" t="s">
        <v>250</v>
      </c>
      <c r="J21" s="9" t="s">
        <v>251</v>
      </c>
      <c r="K21" s="5" t="s">
        <v>108</v>
      </c>
      <c r="L21" s="5">
        <v>8</v>
      </c>
      <c r="M21" s="5">
        <v>20</v>
      </c>
      <c r="N21" s="5" t="s">
        <v>152</v>
      </c>
      <c r="O21" s="5" t="s">
        <v>97</v>
      </c>
      <c r="P21" s="5">
        <v>30</v>
      </c>
      <c r="Q21" s="5"/>
      <c r="R21" s="5"/>
      <c r="S21" s="4"/>
    </row>
    <row r="22" spans="1:19">
      <c r="A22" s="4" t="s">
        <v>57</v>
      </c>
      <c r="B22" s="5" t="s">
        <v>58</v>
      </c>
      <c r="C22" s="6" t="s">
        <v>172</v>
      </c>
      <c r="D22" s="5">
        <v>11079682</v>
      </c>
      <c r="E22" s="4" t="s">
        <v>99</v>
      </c>
      <c r="F22" s="8" t="s">
        <v>92</v>
      </c>
      <c r="G22" s="9" t="s">
        <v>271</v>
      </c>
      <c r="H22" s="9" t="s">
        <v>118</v>
      </c>
      <c r="I22" s="9" t="s">
        <v>164</v>
      </c>
      <c r="J22" s="9" t="s">
        <v>102</v>
      </c>
      <c r="K22" s="5">
        <v>90</v>
      </c>
      <c r="L22" s="5">
        <v>8</v>
      </c>
      <c r="M22" s="5">
        <v>30</v>
      </c>
      <c r="N22" s="5" t="s">
        <v>165</v>
      </c>
      <c r="O22" s="5" t="s">
        <v>104</v>
      </c>
      <c r="P22" s="5"/>
      <c r="Q22" s="5"/>
      <c r="R22" s="5"/>
      <c r="S22" s="4"/>
    </row>
    <row r="23" spans="1:19">
      <c r="A23" s="4" t="s">
        <v>57</v>
      </c>
      <c r="B23" s="5" t="s">
        <v>58</v>
      </c>
      <c r="C23" s="6" t="s">
        <v>26</v>
      </c>
      <c r="D23" s="5">
        <v>11080700</v>
      </c>
      <c r="E23" s="4" t="s">
        <v>60</v>
      </c>
      <c r="F23" s="8" t="s">
        <v>110</v>
      </c>
      <c r="G23" s="9" t="s">
        <v>93</v>
      </c>
      <c r="H23" s="9" t="s">
        <v>94</v>
      </c>
      <c r="I23" s="9" t="s">
        <v>101</v>
      </c>
      <c r="J23" s="9" t="s">
        <v>107</v>
      </c>
      <c r="K23" s="5">
        <v>120</v>
      </c>
      <c r="L23" s="5">
        <v>8</v>
      </c>
      <c r="M23" s="5">
        <v>15</v>
      </c>
      <c r="N23" s="5" t="s">
        <v>103</v>
      </c>
      <c r="O23" s="5" t="s">
        <v>67</v>
      </c>
      <c r="P23" s="5">
        <v>15</v>
      </c>
      <c r="Q23" s="5"/>
      <c r="R23" s="5"/>
      <c r="S23" s="4" t="s">
        <v>267</v>
      </c>
    </row>
    <row r="24" spans="1:19">
      <c r="A24" s="4" t="s">
        <v>57</v>
      </c>
      <c r="B24" s="5" t="s">
        <v>58</v>
      </c>
      <c r="C24" s="17" t="s">
        <v>111</v>
      </c>
      <c r="D24" s="18">
        <v>11087427</v>
      </c>
      <c r="E24" s="4" t="s">
        <v>60</v>
      </c>
      <c r="F24" s="8" t="s">
        <v>112</v>
      </c>
      <c r="G24" s="9" t="s">
        <v>93</v>
      </c>
      <c r="H24" s="9" t="s">
        <v>94</v>
      </c>
      <c r="I24" s="9" t="s">
        <v>101</v>
      </c>
      <c r="J24" s="9" t="s">
        <v>107</v>
      </c>
      <c r="K24" s="5">
        <v>120</v>
      </c>
      <c r="L24" s="5">
        <v>8</v>
      </c>
      <c r="M24" s="5">
        <v>20</v>
      </c>
      <c r="N24" s="5" t="s">
        <v>103</v>
      </c>
      <c r="O24" s="5" t="s">
        <v>67</v>
      </c>
      <c r="P24" s="5">
        <v>10</v>
      </c>
      <c r="Q24" s="5">
        <v>275</v>
      </c>
      <c r="R24" s="5"/>
      <c r="S24" s="4" t="s">
        <v>267</v>
      </c>
    </row>
    <row r="25" spans="1:19">
      <c r="A25" s="4" t="s">
        <v>57</v>
      </c>
      <c r="B25" s="12" t="s">
        <v>58</v>
      </c>
      <c r="C25" s="19" t="s">
        <v>59</v>
      </c>
      <c r="D25" s="12">
        <v>11090265</v>
      </c>
      <c r="E25" s="4" t="s">
        <v>60</v>
      </c>
      <c r="F25" s="4" t="s">
        <v>61</v>
      </c>
      <c r="G25" s="20" t="s">
        <v>62</v>
      </c>
      <c r="H25" s="20" t="s">
        <v>63</v>
      </c>
      <c r="I25" s="20" t="s">
        <v>64</v>
      </c>
      <c r="J25" s="20" t="s">
        <v>65</v>
      </c>
      <c r="K25" s="12">
        <v>90</v>
      </c>
      <c r="L25" s="12">
        <v>11</v>
      </c>
      <c r="M25" s="12">
        <v>15</v>
      </c>
      <c r="N25" s="12" t="s">
        <v>66</v>
      </c>
      <c r="O25" s="12" t="s">
        <v>67</v>
      </c>
      <c r="P25" s="12">
        <v>15</v>
      </c>
      <c r="Q25" s="12"/>
      <c r="R25" s="12"/>
      <c r="S25" s="4"/>
    </row>
    <row r="26" spans="1:19">
      <c r="A26" s="4" t="s">
        <v>57</v>
      </c>
      <c r="B26" s="12" t="s">
        <v>58</v>
      </c>
      <c r="C26" s="19" t="s">
        <v>113</v>
      </c>
      <c r="D26" s="12">
        <v>11093505</v>
      </c>
      <c r="E26" s="4" t="s">
        <v>99</v>
      </c>
      <c r="F26" s="4" t="s">
        <v>114</v>
      </c>
      <c r="G26" s="9" t="s">
        <v>93</v>
      </c>
      <c r="H26" s="9" t="s">
        <v>94</v>
      </c>
      <c r="I26" s="9" t="s">
        <v>95</v>
      </c>
      <c r="J26" s="9" t="s">
        <v>100</v>
      </c>
      <c r="K26" s="5">
        <v>90</v>
      </c>
      <c r="L26" s="5">
        <v>8</v>
      </c>
      <c r="M26" s="5">
        <v>15</v>
      </c>
      <c r="N26" s="5" t="s">
        <v>94</v>
      </c>
      <c r="O26" s="5" t="s">
        <v>67</v>
      </c>
      <c r="P26" s="12">
        <v>15</v>
      </c>
      <c r="Q26" s="5"/>
      <c r="R26" s="5"/>
      <c r="S26" s="4" t="s">
        <v>276</v>
      </c>
    </row>
    <row r="27" spans="1:19">
      <c r="A27" s="4" t="s">
        <v>57</v>
      </c>
      <c r="B27" s="12" t="s">
        <v>58</v>
      </c>
      <c r="C27" s="19" t="s">
        <v>115</v>
      </c>
      <c r="D27" s="12">
        <v>11093506</v>
      </c>
      <c r="E27" s="4" t="s">
        <v>60</v>
      </c>
      <c r="F27" s="4" t="s">
        <v>116</v>
      </c>
      <c r="G27" s="9" t="s">
        <v>93</v>
      </c>
      <c r="H27" s="9" t="s">
        <v>94</v>
      </c>
      <c r="I27" s="9" t="s">
        <v>117</v>
      </c>
      <c r="J27" s="9" t="s">
        <v>118</v>
      </c>
      <c r="K27" s="5">
        <v>90</v>
      </c>
      <c r="L27" s="5">
        <v>8</v>
      </c>
      <c r="M27" s="5">
        <v>15</v>
      </c>
      <c r="N27" s="12" t="s">
        <v>66</v>
      </c>
      <c r="O27" s="5" t="s">
        <v>67</v>
      </c>
      <c r="P27" s="12">
        <v>15</v>
      </c>
      <c r="Q27" s="5"/>
      <c r="R27" s="5"/>
      <c r="S27" s="4" t="s">
        <v>276</v>
      </c>
    </row>
    <row r="28" spans="1:19">
      <c r="A28" s="4" t="s">
        <v>57</v>
      </c>
      <c r="B28" s="12" t="s">
        <v>58</v>
      </c>
      <c r="C28" s="19" t="s">
        <v>173</v>
      </c>
      <c r="D28" s="12">
        <v>11098167</v>
      </c>
      <c r="E28" s="10" t="s">
        <v>60</v>
      </c>
      <c r="F28" s="4" t="s">
        <v>174</v>
      </c>
      <c r="G28" s="5" t="s">
        <v>150</v>
      </c>
      <c r="H28" s="9" t="s">
        <v>103</v>
      </c>
      <c r="I28" s="9" t="s">
        <v>117</v>
      </c>
      <c r="J28" s="9" t="s">
        <v>175</v>
      </c>
      <c r="K28" s="5">
        <v>90</v>
      </c>
      <c r="L28" s="5">
        <v>8</v>
      </c>
      <c r="M28" s="5">
        <v>15</v>
      </c>
      <c r="N28" s="12" t="s">
        <v>66</v>
      </c>
      <c r="O28" s="5" t="s">
        <v>67</v>
      </c>
      <c r="P28" s="12">
        <v>15</v>
      </c>
      <c r="Q28" s="12"/>
      <c r="R28" s="12"/>
      <c r="S28" s="4" t="s">
        <v>277</v>
      </c>
    </row>
    <row r="29" spans="1:19">
      <c r="A29" s="4" t="s">
        <v>57</v>
      </c>
      <c r="B29" s="12" t="s">
        <v>58</v>
      </c>
      <c r="C29" s="19" t="s">
        <v>119</v>
      </c>
      <c r="D29" s="12">
        <v>11101266</v>
      </c>
      <c r="E29" s="4" t="s">
        <v>60</v>
      </c>
      <c r="F29" s="4" t="s">
        <v>120</v>
      </c>
      <c r="G29" s="9" t="s">
        <v>93</v>
      </c>
      <c r="H29" s="9" t="s">
        <v>94</v>
      </c>
      <c r="I29" s="20" t="s">
        <v>121</v>
      </c>
      <c r="J29" s="9" t="s">
        <v>122</v>
      </c>
      <c r="K29" s="12">
        <v>70</v>
      </c>
      <c r="L29" s="12">
        <v>11</v>
      </c>
      <c r="M29" s="5">
        <v>15</v>
      </c>
      <c r="N29" s="5" t="s">
        <v>72</v>
      </c>
      <c r="O29" s="5" t="s">
        <v>73</v>
      </c>
      <c r="P29" s="12">
        <v>15</v>
      </c>
      <c r="Q29" s="12"/>
      <c r="R29" s="12"/>
      <c r="S29" s="4"/>
    </row>
    <row r="30" spans="1:19">
      <c r="A30" s="4" t="s">
        <v>57</v>
      </c>
      <c r="B30" s="12" t="s">
        <v>58</v>
      </c>
      <c r="C30" s="19" t="s">
        <v>31</v>
      </c>
      <c r="D30" s="12">
        <v>11103638</v>
      </c>
      <c r="E30" s="4" t="s">
        <v>60</v>
      </c>
      <c r="F30" s="4" t="s">
        <v>69</v>
      </c>
      <c r="G30" s="20" t="s">
        <v>62</v>
      </c>
      <c r="H30" s="20" t="s">
        <v>63</v>
      </c>
      <c r="I30" s="20" t="s">
        <v>70</v>
      </c>
      <c r="J30" s="9" t="s">
        <v>71</v>
      </c>
      <c r="K30" s="12">
        <v>50</v>
      </c>
      <c r="L30" s="5">
        <v>8</v>
      </c>
      <c r="M30" s="5">
        <v>15</v>
      </c>
      <c r="N30" s="5" t="s">
        <v>72</v>
      </c>
      <c r="O30" s="5" t="s">
        <v>73</v>
      </c>
      <c r="P30" s="12">
        <v>15</v>
      </c>
      <c r="Q30" s="12"/>
      <c r="R30" s="12"/>
      <c r="S30" s="4"/>
    </row>
    <row r="31" spans="1:19">
      <c r="A31" s="4" t="s">
        <v>57</v>
      </c>
      <c r="B31" s="12" t="s">
        <v>58</v>
      </c>
      <c r="C31" s="19" t="s">
        <v>218</v>
      </c>
      <c r="D31" s="12">
        <v>11119925</v>
      </c>
      <c r="E31" s="4" t="s">
        <v>99</v>
      </c>
      <c r="F31" s="4" t="s">
        <v>219</v>
      </c>
      <c r="G31" s="5" t="s">
        <v>212</v>
      </c>
      <c r="H31" s="9" t="s">
        <v>152</v>
      </c>
      <c r="I31" s="20" t="s">
        <v>184</v>
      </c>
      <c r="J31" s="20" t="s">
        <v>220</v>
      </c>
      <c r="K31" s="12">
        <v>90</v>
      </c>
      <c r="L31" s="12">
        <v>8</v>
      </c>
      <c r="M31" s="12">
        <v>30</v>
      </c>
      <c r="N31" s="5" t="s">
        <v>103</v>
      </c>
      <c r="O31" s="5" t="s">
        <v>97</v>
      </c>
      <c r="P31" s="12">
        <v>30</v>
      </c>
      <c r="Q31" s="12"/>
      <c r="R31" s="12"/>
      <c r="S31" s="4"/>
    </row>
    <row r="32" spans="1:19">
      <c r="A32" s="4" t="s">
        <v>57</v>
      </c>
      <c r="B32" s="12" t="s">
        <v>58</v>
      </c>
      <c r="C32" s="19" t="s">
        <v>253</v>
      </c>
      <c r="D32" s="12">
        <v>11119926</v>
      </c>
      <c r="E32" s="4" t="s">
        <v>99</v>
      </c>
      <c r="F32" s="4" t="s">
        <v>254</v>
      </c>
      <c r="G32" s="9" t="s">
        <v>246</v>
      </c>
      <c r="H32" s="9" t="s">
        <v>247</v>
      </c>
      <c r="I32" s="20" t="s">
        <v>184</v>
      </c>
      <c r="J32" s="20" t="s">
        <v>220</v>
      </c>
      <c r="K32" s="12">
        <v>90</v>
      </c>
      <c r="L32" s="12">
        <v>8</v>
      </c>
      <c r="M32" s="12">
        <v>30</v>
      </c>
      <c r="N32" s="5" t="s">
        <v>103</v>
      </c>
      <c r="O32" s="5" t="s">
        <v>97</v>
      </c>
      <c r="P32" s="12">
        <v>30</v>
      </c>
      <c r="Q32" s="12"/>
      <c r="R32" s="12"/>
      <c r="S32" s="4"/>
    </row>
    <row r="33" spans="1:19">
      <c r="A33" s="7" t="s">
        <v>57</v>
      </c>
      <c r="B33" s="5" t="s">
        <v>58</v>
      </c>
      <c r="C33" s="17" t="s">
        <v>221</v>
      </c>
      <c r="D33" s="21">
        <v>11079703</v>
      </c>
      <c r="E33" s="7" t="s">
        <v>60</v>
      </c>
      <c r="F33" s="22"/>
      <c r="G33" s="5" t="s">
        <v>212</v>
      </c>
      <c r="H33" s="9" t="s">
        <v>152</v>
      </c>
      <c r="I33" s="9" t="s">
        <v>170</v>
      </c>
      <c r="J33" s="9" t="s">
        <v>102</v>
      </c>
      <c r="K33" s="12">
        <v>90</v>
      </c>
      <c r="L33" s="5">
        <v>4</v>
      </c>
      <c r="M33" s="5">
        <v>20</v>
      </c>
      <c r="N33" s="5" t="s">
        <v>152</v>
      </c>
      <c r="O33" s="5" t="s">
        <v>97</v>
      </c>
      <c r="P33" s="12">
        <v>20</v>
      </c>
      <c r="Q33" s="7"/>
      <c r="R33" s="22"/>
      <c r="S33" s="22"/>
    </row>
    <row r="34" spans="1:19" ht="29.1">
      <c r="A34" s="7" t="s">
        <v>57</v>
      </c>
      <c r="B34" s="5" t="s">
        <v>58</v>
      </c>
      <c r="C34" s="17" t="s">
        <v>176</v>
      </c>
      <c r="D34" s="21">
        <v>11082237</v>
      </c>
      <c r="E34" s="7" t="s">
        <v>99</v>
      </c>
      <c r="F34" s="22"/>
      <c r="G34" s="5" t="s">
        <v>271</v>
      </c>
      <c r="H34" s="9" t="s">
        <v>118</v>
      </c>
      <c r="I34" s="9" t="s">
        <v>170</v>
      </c>
      <c r="J34" s="9" t="s">
        <v>102</v>
      </c>
      <c r="K34" s="5">
        <v>120</v>
      </c>
      <c r="L34" s="5">
        <v>8</v>
      </c>
      <c r="M34" s="5">
        <v>15</v>
      </c>
      <c r="N34" s="5" t="s">
        <v>103</v>
      </c>
      <c r="O34" s="7"/>
      <c r="P34" s="7"/>
      <c r="Q34" s="7"/>
      <c r="R34" s="22"/>
      <c r="S34" s="22"/>
    </row>
    <row r="35" spans="1:19">
      <c r="A35" s="7" t="s">
        <v>57</v>
      </c>
      <c r="B35" s="5" t="s">
        <v>58</v>
      </c>
      <c r="C35" s="17" t="s">
        <v>22</v>
      </c>
      <c r="D35" s="21">
        <v>11090520</v>
      </c>
      <c r="E35" s="7" t="s">
        <v>99</v>
      </c>
      <c r="F35" s="22"/>
      <c r="G35" s="5" t="s">
        <v>212</v>
      </c>
      <c r="H35" s="9" t="s">
        <v>152</v>
      </c>
      <c r="I35" s="9" t="s">
        <v>170</v>
      </c>
      <c r="J35" s="20" t="s">
        <v>220</v>
      </c>
      <c r="K35" s="5">
        <v>120</v>
      </c>
      <c r="L35" s="12">
        <v>11</v>
      </c>
      <c r="M35" s="5">
        <v>20</v>
      </c>
      <c r="N35" s="5" t="s">
        <v>103</v>
      </c>
      <c r="O35" s="7"/>
      <c r="P35" s="7"/>
      <c r="Q35" s="7"/>
      <c r="R35" s="22"/>
      <c r="S35" s="22"/>
    </row>
    <row r="36" spans="1:19">
      <c r="A36" s="7" t="s">
        <v>57</v>
      </c>
      <c r="B36" s="5" t="s">
        <v>58</v>
      </c>
      <c r="C36" s="23" t="s">
        <v>223</v>
      </c>
      <c r="D36" s="7">
        <v>11090960</v>
      </c>
      <c r="E36" s="7" t="s">
        <v>75</v>
      </c>
      <c r="F36" s="22"/>
      <c r="G36" s="5" t="s">
        <v>212</v>
      </c>
      <c r="H36" s="9" t="s">
        <v>224</v>
      </c>
      <c r="I36" s="9" t="s">
        <v>225</v>
      </c>
      <c r="J36" s="20" t="s">
        <v>226</v>
      </c>
      <c r="K36" s="12">
        <v>90</v>
      </c>
      <c r="L36" s="12">
        <v>11</v>
      </c>
      <c r="M36" s="5">
        <v>20</v>
      </c>
      <c r="N36" s="5" t="s">
        <v>152</v>
      </c>
      <c r="O36" s="5" t="s">
        <v>73</v>
      </c>
      <c r="P36" s="5">
        <v>20</v>
      </c>
      <c r="Q36" s="7"/>
      <c r="R36" s="22"/>
      <c r="S36" s="22"/>
    </row>
    <row r="37" spans="1:19">
      <c r="A37" s="7" t="s">
        <v>57</v>
      </c>
      <c r="B37" s="5" t="s">
        <v>58</v>
      </c>
      <c r="C37" s="17" t="s">
        <v>19</v>
      </c>
      <c r="D37" s="21">
        <v>11096549</v>
      </c>
      <c r="E37" s="7" t="s">
        <v>99</v>
      </c>
      <c r="F37" s="22"/>
      <c r="G37" s="9" t="s">
        <v>246</v>
      </c>
      <c r="H37" s="9" t="s">
        <v>247</v>
      </c>
      <c r="I37" s="9" t="s">
        <v>225</v>
      </c>
      <c r="J37" s="9" t="s">
        <v>243</v>
      </c>
      <c r="K37" s="12">
        <v>90</v>
      </c>
      <c r="L37" s="12">
        <v>8</v>
      </c>
      <c r="M37" s="12">
        <v>30</v>
      </c>
      <c r="N37" s="5" t="s">
        <v>152</v>
      </c>
      <c r="O37" s="5" t="s">
        <v>97</v>
      </c>
      <c r="P37" s="7">
        <v>10</v>
      </c>
      <c r="Q37" s="7">
        <v>450</v>
      </c>
      <c r="R37" s="22"/>
      <c r="S37" s="22"/>
    </row>
    <row r="38" spans="1:19">
      <c r="A38" s="7" t="s">
        <v>57</v>
      </c>
      <c r="B38" s="24"/>
      <c r="C38" s="17" t="s">
        <v>278</v>
      </c>
      <c r="D38" s="21">
        <v>11098317</v>
      </c>
      <c r="E38" s="7" t="s">
        <v>99</v>
      </c>
      <c r="F38" s="22"/>
      <c r="G38" s="22"/>
      <c r="H38" s="22"/>
      <c r="I38" s="22"/>
      <c r="J38" s="22"/>
      <c r="K38" s="22"/>
      <c r="L38" s="22"/>
      <c r="M38" s="22"/>
      <c r="N38" s="22"/>
      <c r="O38" s="22"/>
      <c r="P38" s="22"/>
      <c r="Q38" s="22"/>
      <c r="R38" s="22"/>
      <c r="S38" s="22"/>
    </row>
    <row r="39" spans="1:19">
      <c r="A39" s="7" t="s">
        <v>57</v>
      </c>
      <c r="B39" s="24" t="s">
        <v>58</v>
      </c>
      <c r="C39" s="17" t="s">
        <v>255</v>
      </c>
      <c r="D39" s="21">
        <v>11117007</v>
      </c>
      <c r="E39" s="7" t="s">
        <v>99</v>
      </c>
      <c r="F39" s="22"/>
      <c r="G39" s="9" t="s">
        <v>246</v>
      </c>
      <c r="H39" s="9" t="s">
        <v>247</v>
      </c>
      <c r="I39" s="9" t="s">
        <v>170</v>
      </c>
      <c r="J39" s="9" t="s">
        <v>251</v>
      </c>
      <c r="K39" s="7">
        <v>120</v>
      </c>
      <c r="L39" s="7">
        <v>8</v>
      </c>
      <c r="M39" s="7">
        <v>20</v>
      </c>
      <c r="N39" s="5" t="s">
        <v>152</v>
      </c>
      <c r="O39" s="22"/>
      <c r="P39" s="22"/>
      <c r="Q39" s="22"/>
      <c r="R39" s="22"/>
      <c r="S39" s="22"/>
    </row>
    <row r="40" spans="1:19">
      <c r="A40" s="7" t="s">
        <v>57</v>
      </c>
      <c r="B40" s="5" t="s">
        <v>58</v>
      </c>
      <c r="C40" s="17" t="s">
        <v>177</v>
      </c>
      <c r="D40" s="21">
        <v>11120417</v>
      </c>
      <c r="E40" s="7" t="s">
        <v>99</v>
      </c>
      <c r="F40" s="22"/>
      <c r="G40" s="5" t="s">
        <v>150</v>
      </c>
      <c r="H40" s="9" t="s">
        <v>103</v>
      </c>
      <c r="I40" s="9" t="s">
        <v>179</v>
      </c>
      <c r="J40" s="9" t="s">
        <v>180</v>
      </c>
      <c r="K40" s="5">
        <v>90</v>
      </c>
      <c r="L40" s="5">
        <v>8</v>
      </c>
      <c r="M40" s="7">
        <v>20</v>
      </c>
      <c r="N40" s="12" t="s">
        <v>103</v>
      </c>
      <c r="O40" s="7"/>
      <c r="P40" s="7"/>
      <c r="Q40" s="7"/>
      <c r="R40" s="22"/>
      <c r="S40" s="22"/>
    </row>
    <row r="41" spans="1:19" ht="29.1">
      <c r="A41" s="7" t="s">
        <v>57</v>
      </c>
      <c r="B41" s="24" t="s">
        <v>58</v>
      </c>
      <c r="C41" s="17" t="s">
        <v>123</v>
      </c>
      <c r="D41" s="25" t="s">
        <v>124</v>
      </c>
      <c r="E41" s="7" t="s">
        <v>99</v>
      </c>
      <c r="F41" s="22"/>
      <c r="G41" s="9" t="s">
        <v>93</v>
      </c>
      <c r="H41" s="9" t="s">
        <v>94</v>
      </c>
      <c r="I41" s="9" t="s">
        <v>117</v>
      </c>
      <c r="J41" s="9" t="s">
        <v>107</v>
      </c>
      <c r="K41" s="7">
        <v>120</v>
      </c>
      <c r="L41" s="7">
        <v>8</v>
      </c>
      <c r="M41" s="7">
        <v>20</v>
      </c>
      <c r="N41" s="12" t="s">
        <v>66</v>
      </c>
      <c r="O41" s="5" t="s">
        <v>67</v>
      </c>
      <c r="P41" s="7">
        <v>20</v>
      </c>
      <c r="Q41" s="22"/>
      <c r="R41" s="22"/>
      <c r="S41" s="22"/>
    </row>
    <row r="42" spans="1:19">
      <c r="A42" s="7" t="s">
        <v>57</v>
      </c>
      <c r="B42" s="5" t="s">
        <v>58</v>
      </c>
      <c r="C42" s="17" t="s">
        <v>182</v>
      </c>
      <c r="D42" s="21">
        <v>11121440</v>
      </c>
      <c r="E42" s="7" t="s">
        <v>99</v>
      </c>
      <c r="F42" s="22"/>
      <c r="G42" s="5" t="s">
        <v>271</v>
      </c>
      <c r="H42" s="9" t="s">
        <v>183</v>
      </c>
      <c r="I42" s="20" t="s">
        <v>184</v>
      </c>
      <c r="J42" s="9" t="s">
        <v>185</v>
      </c>
      <c r="K42" s="7">
        <v>70</v>
      </c>
      <c r="L42" s="7">
        <v>8</v>
      </c>
      <c r="M42" s="7">
        <v>20</v>
      </c>
      <c r="N42" s="12" t="s">
        <v>103</v>
      </c>
      <c r="O42" s="5" t="s">
        <v>97</v>
      </c>
      <c r="P42" s="12">
        <v>20</v>
      </c>
      <c r="Q42" s="7"/>
      <c r="R42" s="22"/>
      <c r="S42" s="22"/>
    </row>
    <row r="43" spans="1:19" hidden="1">
      <c r="A43" s="7" t="s">
        <v>57</v>
      </c>
      <c r="B43" s="24" t="s">
        <v>90</v>
      </c>
      <c r="C43" s="26" t="s">
        <v>279</v>
      </c>
      <c r="D43" s="7">
        <v>11122057</v>
      </c>
      <c r="E43" s="7" t="s">
        <v>60</v>
      </c>
      <c r="F43" s="22"/>
      <c r="G43" s="22"/>
      <c r="H43" s="22"/>
      <c r="I43" s="22"/>
      <c r="J43" s="22"/>
      <c r="K43" s="22"/>
      <c r="L43" s="22"/>
      <c r="M43" s="22"/>
      <c r="N43" s="22"/>
      <c r="O43" s="22"/>
      <c r="P43" s="22"/>
      <c r="Q43" s="22"/>
      <c r="R43" s="22"/>
      <c r="S43" s="22"/>
    </row>
    <row r="44" spans="1:19">
      <c r="A44" s="7" t="s">
        <v>57</v>
      </c>
      <c r="B44" s="12" t="s">
        <v>58</v>
      </c>
      <c r="C44" s="23" t="s">
        <v>74</v>
      </c>
      <c r="D44" s="7">
        <v>11124314</v>
      </c>
      <c r="E44" s="7" t="s">
        <v>75</v>
      </c>
      <c r="F44" s="22"/>
      <c r="G44" s="20" t="s">
        <v>62</v>
      </c>
      <c r="H44" s="20" t="s">
        <v>63</v>
      </c>
      <c r="I44" s="20" t="s">
        <v>64</v>
      </c>
      <c r="J44" s="20" t="s">
        <v>65</v>
      </c>
      <c r="K44" s="12">
        <v>90</v>
      </c>
      <c r="L44" s="12">
        <v>11</v>
      </c>
      <c r="M44" s="12">
        <v>15</v>
      </c>
      <c r="N44" s="12" t="s">
        <v>66</v>
      </c>
      <c r="O44" s="5" t="s">
        <v>73</v>
      </c>
      <c r="P44" s="12">
        <v>15</v>
      </c>
      <c r="Q44" s="7"/>
      <c r="R44" s="22"/>
      <c r="S44" s="22"/>
    </row>
    <row r="45" spans="1:19">
      <c r="A45" s="7" t="s">
        <v>57</v>
      </c>
      <c r="B45" s="24" t="s">
        <v>58</v>
      </c>
      <c r="C45" s="23" t="s">
        <v>125</v>
      </c>
      <c r="D45" s="7">
        <v>11124315</v>
      </c>
      <c r="E45" s="7" t="s">
        <v>75</v>
      </c>
      <c r="F45" s="22"/>
      <c r="G45" s="9" t="s">
        <v>93</v>
      </c>
      <c r="H45" s="9" t="s">
        <v>94</v>
      </c>
      <c r="I45" s="9" t="s">
        <v>117</v>
      </c>
      <c r="J45" s="9" t="s">
        <v>118</v>
      </c>
      <c r="K45" s="7">
        <v>90</v>
      </c>
      <c r="L45" s="7">
        <v>8</v>
      </c>
      <c r="M45" s="5">
        <v>15</v>
      </c>
      <c r="N45" s="12" t="s">
        <v>66</v>
      </c>
      <c r="O45" s="5" t="s">
        <v>73</v>
      </c>
      <c r="P45" s="12">
        <v>15</v>
      </c>
      <c r="Q45" s="22"/>
      <c r="R45" s="22"/>
      <c r="S45" s="22"/>
    </row>
    <row r="46" spans="1:19">
      <c r="A46" s="7" t="s">
        <v>57</v>
      </c>
      <c r="B46" s="24" t="s">
        <v>58</v>
      </c>
      <c r="C46" s="23" t="s">
        <v>126</v>
      </c>
      <c r="D46" s="7">
        <v>11124353</v>
      </c>
      <c r="E46" s="7" t="s">
        <v>75</v>
      </c>
      <c r="F46" s="22"/>
      <c r="G46" s="9" t="s">
        <v>93</v>
      </c>
      <c r="H46" s="9" t="s">
        <v>94</v>
      </c>
      <c r="I46" s="9" t="s">
        <v>101</v>
      </c>
      <c r="J46" s="9" t="s">
        <v>107</v>
      </c>
      <c r="K46" s="7">
        <v>120</v>
      </c>
      <c r="L46" s="7">
        <v>8</v>
      </c>
      <c r="M46" s="7">
        <v>30</v>
      </c>
      <c r="N46" s="12" t="s">
        <v>103</v>
      </c>
      <c r="O46" s="5" t="s">
        <v>73</v>
      </c>
      <c r="P46" s="7">
        <v>30</v>
      </c>
      <c r="Q46" s="22"/>
      <c r="R46" s="22"/>
      <c r="S46" s="22"/>
    </row>
    <row r="47" spans="1:19" hidden="1">
      <c r="A47" s="7" t="s">
        <v>57</v>
      </c>
      <c r="B47" s="24" t="s">
        <v>90</v>
      </c>
      <c r="C47" s="26" t="s">
        <v>280</v>
      </c>
      <c r="D47" s="7">
        <v>11127268</v>
      </c>
      <c r="E47" s="7" t="s">
        <v>75</v>
      </c>
      <c r="F47" s="22"/>
      <c r="G47" s="22"/>
      <c r="H47" s="22"/>
      <c r="I47" s="22"/>
      <c r="J47" s="22"/>
      <c r="K47" s="22"/>
      <c r="L47" s="22"/>
      <c r="M47" s="22"/>
      <c r="N47" s="22"/>
      <c r="O47" s="22"/>
      <c r="P47" s="22"/>
      <c r="Q47" s="22"/>
      <c r="R47" s="22"/>
      <c r="S47" s="22"/>
    </row>
    <row r="48" spans="1:19">
      <c r="A48" s="7" t="s">
        <v>57</v>
      </c>
      <c r="B48" s="5" t="s">
        <v>58</v>
      </c>
      <c r="C48" s="11" t="s">
        <v>186</v>
      </c>
      <c r="D48" s="21">
        <v>11130407</v>
      </c>
      <c r="E48" s="7" t="s">
        <v>99</v>
      </c>
      <c r="F48" s="22"/>
      <c r="G48" s="5" t="s">
        <v>150</v>
      </c>
      <c r="H48" s="9" t="s">
        <v>103</v>
      </c>
      <c r="I48" s="9" t="s">
        <v>170</v>
      </c>
      <c r="J48" s="9" t="s">
        <v>171</v>
      </c>
      <c r="K48" s="5">
        <v>90</v>
      </c>
      <c r="L48" s="5">
        <v>8</v>
      </c>
      <c r="M48" s="7">
        <v>20</v>
      </c>
      <c r="N48" s="12" t="s">
        <v>66</v>
      </c>
      <c r="O48" s="24" t="s">
        <v>187</v>
      </c>
      <c r="P48" s="7"/>
      <c r="Q48" s="7"/>
      <c r="R48" s="22"/>
      <c r="S48" s="22"/>
    </row>
    <row r="49" spans="1:19">
      <c r="A49" s="4" t="s">
        <v>281</v>
      </c>
      <c r="B49" s="12" t="s">
        <v>58</v>
      </c>
      <c r="C49" s="19" t="s">
        <v>282</v>
      </c>
      <c r="D49" s="12" t="s">
        <v>283</v>
      </c>
      <c r="E49" s="4" t="s">
        <v>75</v>
      </c>
      <c r="F49" s="4"/>
      <c r="G49" s="5" t="s">
        <v>150</v>
      </c>
      <c r="H49" s="9" t="s">
        <v>103</v>
      </c>
      <c r="I49" s="9" t="s">
        <v>101</v>
      </c>
      <c r="J49" s="9" t="s">
        <v>180</v>
      </c>
      <c r="K49" s="5">
        <v>90</v>
      </c>
      <c r="L49" s="5">
        <v>8</v>
      </c>
      <c r="M49" s="7">
        <v>20</v>
      </c>
      <c r="N49" s="12" t="s">
        <v>103</v>
      </c>
      <c r="O49" s="5" t="s">
        <v>67</v>
      </c>
      <c r="P49" s="12">
        <v>20</v>
      </c>
      <c r="Q49" s="12"/>
      <c r="R49" s="12"/>
      <c r="S49" s="4"/>
    </row>
    <row r="50" spans="1:19">
      <c r="A50" s="4" t="s">
        <v>281</v>
      </c>
      <c r="B50" s="12" t="s">
        <v>58</v>
      </c>
      <c r="C50" s="19" t="s">
        <v>284</v>
      </c>
      <c r="D50" s="12" t="s">
        <v>285</v>
      </c>
      <c r="E50" s="4" t="s">
        <v>99</v>
      </c>
      <c r="F50" s="4"/>
      <c r="G50" s="9" t="s">
        <v>150</v>
      </c>
      <c r="H50" s="9" t="s">
        <v>103</v>
      </c>
      <c r="I50" s="9" t="s">
        <v>101</v>
      </c>
      <c r="J50" s="9" t="s">
        <v>286</v>
      </c>
      <c r="K50" s="12">
        <v>90</v>
      </c>
      <c r="L50" s="12">
        <v>8</v>
      </c>
      <c r="M50" s="12">
        <v>20</v>
      </c>
      <c r="N50" s="5" t="s">
        <v>103</v>
      </c>
      <c r="O50" s="5"/>
      <c r="P50" s="12">
        <v>30</v>
      </c>
      <c r="Q50" s="12"/>
      <c r="R50" s="12"/>
      <c r="S50" s="4"/>
    </row>
    <row r="51" spans="1:19">
      <c r="A51" s="4" t="s">
        <v>281</v>
      </c>
      <c r="B51" s="12" t="s">
        <v>58</v>
      </c>
      <c r="C51" s="19" t="s">
        <v>287</v>
      </c>
      <c r="D51" s="12" t="s">
        <v>288</v>
      </c>
      <c r="E51" s="4" t="s">
        <v>99</v>
      </c>
      <c r="F51" s="4"/>
      <c r="G51" s="9" t="s">
        <v>93</v>
      </c>
      <c r="H51" s="9" t="s">
        <v>94</v>
      </c>
      <c r="I51" s="9" t="s">
        <v>101</v>
      </c>
      <c r="J51" s="9" t="s">
        <v>289</v>
      </c>
      <c r="K51" s="7">
        <v>120</v>
      </c>
      <c r="L51" s="7">
        <v>8</v>
      </c>
      <c r="M51" s="5">
        <v>15</v>
      </c>
      <c r="N51" s="12" t="s">
        <v>103</v>
      </c>
      <c r="O51" s="5" t="s">
        <v>67</v>
      </c>
      <c r="P51" s="12">
        <v>15</v>
      </c>
      <c r="Q51" s="12"/>
      <c r="R51" s="12"/>
      <c r="S51" s="4"/>
    </row>
    <row r="52" spans="1:19">
      <c r="A52" s="4" t="s">
        <v>281</v>
      </c>
      <c r="B52" s="12" t="s">
        <v>58</v>
      </c>
      <c r="C52" s="19" t="s">
        <v>290</v>
      </c>
      <c r="D52" s="12" t="s">
        <v>288</v>
      </c>
      <c r="E52" s="4" t="s">
        <v>99</v>
      </c>
      <c r="F52" s="4"/>
      <c r="G52" s="9" t="s">
        <v>291</v>
      </c>
      <c r="H52" s="9" t="s">
        <v>71</v>
      </c>
      <c r="I52" s="20" t="s">
        <v>292</v>
      </c>
      <c r="J52" s="9" t="s">
        <v>100</v>
      </c>
      <c r="K52" s="12">
        <v>90</v>
      </c>
      <c r="L52" s="12">
        <v>11</v>
      </c>
      <c r="M52" s="12">
        <v>15</v>
      </c>
      <c r="N52" s="20" t="s">
        <v>66</v>
      </c>
      <c r="O52" s="5" t="s">
        <v>67</v>
      </c>
      <c r="P52" s="12">
        <v>15</v>
      </c>
      <c r="Q52" s="12"/>
      <c r="R52" s="12"/>
      <c r="S52" s="4"/>
    </row>
    <row r="53" spans="1:19">
      <c r="A53" s="4" t="s">
        <v>281</v>
      </c>
      <c r="B53" s="12" t="s">
        <v>58</v>
      </c>
      <c r="C53" s="19" t="s">
        <v>293</v>
      </c>
      <c r="D53" s="12" t="s">
        <v>294</v>
      </c>
      <c r="E53" s="4" t="s">
        <v>99</v>
      </c>
      <c r="F53" s="4"/>
      <c r="G53" s="9" t="s">
        <v>93</v>
      </c>
      <c r="H53" s="9" t="s">
        <v>94</v>
      </c>
      <c r="I53" s="9" t="s">
        <v>95</v>
      </c>
      <c r="J53" s="9" t="s">
        <v>100</v>
      </c>
      <c r="K53" s="7">
        <v>90</v>
      </c>
      <c r="L53" s="7">
        <v>8</v>
      </c>
      <c r="M53" s="7">
        <v>20</v>
      </c>
      <c r="N53" s="12" t="s">
        <v>94</v>
      </c>
      <c r="O53" s="5" t="s">
        <v>67</v>
      </c>
      <c r="P53" s="7">
        <v>20</v>
      </c>
      <c r="Q53" s="12"/>
      <c r="R53" s="12"/>
      <c r="S53" s="4"/>
    </row>
    <row r="54" spans="1:19">
      <c r="A54" s="4" t="s">
        <v>281</v>
      </c>
      <c r="B54" s="12" t="s">
        <v>58</v>
      </c>
      <c r="C54" s="19" t="s">
        <v>295</v>
      </c>
      <c r="D54" s="12" t="s">
        <v>296</v>
      </c>
      <c r="E54" s="4" t="s">
        <v>99</v>
      </c>
      <c r="F54" s="4"/>
      <c r="G54" s="9" t="s">
        <v>291</v>
      </c>
      <c r="H54" s="9" t="s">
        <v>71</v>
      </c>
      <c r="I54" s="20" t="s">
        <v>292</v>
      </c>
      <c r="J54" s="9" t="s">
        <v>297</v>
      </c>
      <c r="K54" s="12">
        <v>90</v>
      </c>
      <c r="L54" s="12">
        <v>11</v>
      </c>
      <c r="M54" s="12">
        <v>15</v>
      </c>
      <c r="N54" s="20" t="s">
        <v>66</v>
      </c>
      <c r="O54" s="5" t="s">
        <v>67</v>
      </c>
      <c r="P54" s="12">
        <v>15</v>
      </c>
      <c r="Q54" s="12"/>
      <c r="R54" s="12"/>
      <c r="S54" s="4"/>
    </row>
    <row r="55" spans="1:19">
      <c r="A55" s="4" t="s">
        <v>281</v>
      </c>
      <c r="B55" s="12" t="s">
        <v>58</v>
      </c>
      <c r="C55" s="19" t="s">
        <v>298</v>
      </c>
      <c r="D55" s="12" t="s">
        <v>299</v>
      </c>
      <c r="E55" s="4" t="s">
        <v>99</v>
      </c>
      <c r="F55" s="4"/>
      <c r="G55" s="9" t="s">
        <v>93</v>
      </c>
      <c r="H55" s="9" t="s">
        <v>94</v>
      </c>
      <c r="I55" s="9" t="s">
        <v>101</v>
      </c>
      <c r="J55" s="9" t="s">
        <v>289</v>
      </c>
      <c r="K55" s="7">
        <v>120</v>
      </c>
      <c r="L55" s="7">
        <v>8</v>
      </c>
      <c r="M55" s="7">
        <v>20</v>
      </c>
      <c r="N55" s="12" t="s">
        <v>103</v>
      </c>
      <c r="O55" s="5" t="s">
        <v>67</v>
      </c>
      <c r="P55" s="7">
        <v>20</v>
      </c>
      <c r="Q55" s="12"/>
      <c r="R55" s="12"/>
      <c r="S55" s="4"/>
    </row>
    <row r="56" spans="1:19">
      <c r="A56" s="4" t="s">
        <v>281</v>
      </c>
      <c r="B56" s="12" t="s">
        <v>58</v>
      </c>
      <c r="C56" s="19" t="s">
        <v>300</v>
      </c>
      <c r="D56" s="12" t="s">
        <v>299</v>
      </c>
      <c r="E56" s="4" t="s">
        <v>99</v>
      </c>
      <c r="F56" s="4"/>
      <c r="G56" s="20" t="s">
        <v>66</v>
      </c>
      <c r="H56" s="20" t="s">
        <v>301</v>
      </c>
      <c r="I56" s="20" t="s">
        <v>292</v>
      </c>
      <c r="J56" s="9" t="s">
        <v>100</v>
      </c>
      <c r="K56" s="5">
        <v>90</v>
      </c>
      <c r="L56" s="5">
        <v>11</v>
      </c>
      <c r="M56" s="5">
        <v>20</v>
      </c>
      <c r="N56" s="20" t="s">
        <v>66</v>
      </c>
      <c r="O56" s="5" t="s">
        <v>67</v>
      </c>
      <c r="P56" s="12">
        <v>15</v>
      </c>
      <c r="Q56" s="12"/>
      <c r="R56" s="12"/>
      <c r="S56" s="4"/>
    </row>
    <row r="57" spans="1:19">
      <c r="A57" s="4" t="s">
        <v>281</v>
      </c>
      <c r="B57" s="12" t="s">
        <v>58</v>
      </c>
      <c r="C57" s="19" t="s">
        <v>302</v>
      </c>
      <c r="D57" s="12" t="s">
        <v>299</v>
      </c>
      <c r="E57" s="4" t="s">
        <v>99</v>
      </c>
      <c r="F57" s="4"/>
      <c r="G57" s="5" t="s">
        <v>212</v>
      </c>
      <c r="H57" s="9" t="s">
        <v>152</v>
      </c>
      <c r="I57" s="9" t="s">
        <v>170</v>
      </c>
      <c r="J57" s="9" t="s">
        <v>171</v>
      </c>
      <c r="K57" s="5">
        <v>120</v>
      </c>
      <c r="L57" s="12">
        <v>11</v>
      </c>
      <c r="M57" s="12">
        <v>20</v>
      </c>
      <c r="N57" s="5" t="s">
        <v>103</v>
      </c>
      <c r="O57" s="12" t="s">
        <v>67</v>
      </c>
      <c r="P57" s="12">
        <v>20</v>
      </c>
      <c r="Q57" s="12"/>
      <c r="R57" s="12"/>
      <c r="S57" s="4"/>
    </row>
    <row r="58" spans="1:19">
      <c r="A58" s="4" t="s">
        <v>281</v>
      </c>
      <c r="B58" s="12" t="s">
        <v>58</v>
      </c>
      <c r="C58" s="19" t="s">
        <v>303</v>
      </c>
      <c r="D58" s="12" t="s">
        <v>299</v>
      </c>
      <c r="E58" s="4" t="s">
        <v>99</v>
      </c>
      <c r="F58" s="4"/>
      <c r="G58" s="9" t="s">
        <v>93</v>
      </c>
      <c r="H58" s="9" t="s">
        <v>94</v>
      </c>
      <c r="I58" s="9" t="s">
        <v>117</v>
      </c>
      <c r="J58" s="9" t="s">
        <v>118</v>
      </c>
      <c r="K58" s="12">
        <v>70</v>
      </c>
      <c r="L58" s="12">
        <v>8</v>
      </c>
      <c r="M58" s="5">
        <v>15</v>
      </c>
      <c r="N58" s="12" t="s">
        <v>66</v>
      </c>
      <c r="O58" s="5" t="s">
        <v>67</v>
      </c>
      <c r="P58" s="12">
        <v>15</v>
      </c>
      <c r="Q58" s="12"/>
      <c r="R58" s="12"/>
      <c r="S58" s="4"/>
    </row>
    <row r="59" spans="1:19">
      <c r="A59" s="4" t="s">
        <v>281</v>
      </c>
      <c r="B59" s="12" t="s">
        <v>58</v>
      </c>
      <c r="C59" s="19" t="s">
        <v>304</v>
      </c>
      <c r="D59" s="4" t="s">
        <v>305</v>
      </c>
      <c r="E59" s="4" t="s">
        <v>99</v>
      </c>
      <c r="F59" s="4"/>
      <c r="G59" s="9" t="s">
        <v>246</v>
      </c>
      <c r="H59" s="9" t="s">
        <v>247</v>
      </c>
      <c r="I59" s="9" t="s">
        <v>248</v>
      </c>
      <c r="J59" s="9" t="s">
        <v>64</v>
      </c>
      <c r="K59" s="12">
        <v>90</v>
      </c>
      <c r="L59" s="12">
        <v>4</v>
      </c>
      <c r="M59" s="12">
        <v>30</v>
      </c>
      <c r="N59" s="12" t="s">
        <v>247</v>
      </c>
      <c r="O59" s="5" t="s">
        <v>97</v>
      </c>
      <c r="P59" s="12">
        <v>10</v>
      </c>
      <c r="Q59" s="12"/>
      <c r="R59" s="12"/>
      <c r="S59" s="4"/>
    </row>
    <row r="60" spans="1:19">
      <c r="A60" s="4" t="s">
        <v>281</v>
      </c>
      <c r="B60" s="12" t="s">
        <v>58</v>
      </c>
      <c r="C60" s="19" t="s">
        <v>306</v>
      </c>
      <c r="D60" s="12"/>
      <c r="E60" s="4" t="s">
        <v>99</v>
      </c>
      <c r="F60" s="4"/>
      <c r="G60" s="9" t="s">
        <v>93</v>
      </c>
      <c r="H60" s="9" t="s">
        <v>94</v>
      </c>
      <c r="I60" s="9" t="s">
        <v>251</v>
      </c>
      <c r="J60" s="9" t="s">
        <v>307</v>
      </c>
      <c r="K60" s="12">
        <v>70</v>
      </c>
      <c r="L60" s="12">
        <v>8</v>
      </c>
      <c r="M60" s="12">
        <v>20</v>
      </c>
      <c r="N60" s="5" t="s">
        <v>72</v>
      </c>
      <c r="O60" s="5" t="s">
        <v>73</v>
      </c>
      <c r="P60" s="5">
        <v>10</v>
      </c>
      <c r="Q60" s="5">
        <v>275</v>
      </c>
      <c r="R60" s="12"/>
      <c r="S60" s="4"/>
    </row>
    <row r="61" spans="1:19">
      <c r="A61" s="4" t="s">
        <v>281</v>
      </c>
      <c r="B61" s="12" t="s">
        <v>58</v>
      </c>
      <c r="C61" s="19" t="s">
        <v>308</v>
      </c>
      <c r="D61" s="12"/>
      <c r="E61" s="4" t="s">
        <v>99</v>
      </c>
      <c r="F61" s="4"/>
      <c r="G61" s="20" t="s">
        <v>66</v>
      </c>
      <c r="H61" s="20" t="s">
        <v>301</v>
      </c>
      <c r="I61" s="20" t="s">
        <v>309</v>
      </c>
      <c r="J61" s="9" t="s">
        <v>103</v>
      </c>
      <c r="K61" s="12">
        <v>70</v>
      </c>
      <c r="L61" s="5">
        <v>11</v>
      </c>
      <c r="M61" s="5">
        <v>20</v>
      </c>
      <c r="N61" s="5" t="s">
        <v>72</v>
      </c>
      <c r="O61" s="5" t="s">
        <v>73</v>
      </c>
      <c r="P61" s="5">
        <v>10</v>
      </c>
      <c r="Q61" s="5">
        <v>275</v>
      </c>
      <c r="R61" s="12"/>
      <c r="S61" s="4"/>
    </row>
    <row r="62" spans="1:19">
      <c r="A62" s="4" t="s">
        <v>281</v>
      </c>
      <c r="B62" s="12" t="s">
        <v>58</v>
      </c>
      <c r="C62" s="19" t="s">
        <v>310</v>
      </c>
      <c r="D62" s="12"/>
      <c r="E62" s="4" t="s">
        <v>99</v>
      </c>
      <c r="F62" s="4"/>
      <c r="G62" s="20" t="s">
        <v>66</v>
      </c>
      <c r="H62" s="20" t="s">
        <v>301</v>
      </c>
      <c r="I62" s="20" t="s">
        <v>309</v>
      </c>
      <c r="J62" s="9" t="s">
        <v>311</v>
      </c>
      <c r="K62" s="12">
        <v>70</v>
      </c>
      <c r="L62" s="5">
        <v>11</v>
      </c>
      <c r="M62" s="5">
        <v>20</v>
      </c>
      <c r="N62" s="5" t="s">
        <v>72</v>
      </c>
      <c r="O62" s="5" t="s">
        <v>73</v>
      </c>
      <c r="P62" s="5">
        <v>10</v>
      </c>
      <c r="Q62" s="5">
        <v>275</v>
      </c>
      <c r="R62" s="12"/>
      <c r="S62" s="4"/>
    </row>
  </sheetData>
  <autoFilter ref="A1:S62" xr:uid="{9387580E-DF33-4420-9681-4BBE63D77429}">
    <filterColumn colId="1">
      <filters blank="1">
        <filter val="SPT"/>
      </filters>
    </filterColumn>
  </autoFilter>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89AFD-BE3C-46D6-B88D-6AC7CDAAD028}">
  <dimension ref="A1:U32"/>
  <sheetViews>
    <sheetView zoomScale="85" zoomScaleNormal="85" workbookViewId="0">
      <selection activeCell="M11" sqref="M11"/>
    </sheetView>
  </sheetViews>
  <sheetFormatPr defaultColWidth="8.7109375" defaultRowHeight="14.45"/>
  <cols>
    <col min="1" max="1" width="4.140625" style="118" bestFit="1" customWidth="1"/>
    <col min="2" max="2" width="9.85546875" style="39" customWidth="1"/>
    <col min="3" max="3" width="50" style="39" customWidth="1"/>
    <col min="4" max="4" width="7.42578125" style="39" customWidth="1"/>
    <col min="5" max="5" width="18.28515625" style="39" bestFit="1" customWidth="1"/>
    <col min="6" max="6" width="5" style="39" customWidth="1"/>
    <col min="7" max="7" width="12.85546875" style="39" customWidth="1"/>
    <col min="8" max="8" width="13" style="39" customWidth="1"/>
    <col min="9" max="9" width="12.42578125" style="39" customWidth="1"/>
    <col min="10" max="10" width="11.85546875" style="39" customWidth="1"/>
    <col min="11" max="11" width="9.85546875" style="39" customWidth="1"/>
    <col min="12" max="12" width="10.140625" style="39" customWidth="1"/>
    <col min="13" max="13" width="18" style="39" customWidth="1"/>
    <col min="14" max="14" width="9.140625" style="39" bestFit="1" customWidth="1"/>
    <col min="15" max="15" width="10.42578125" style="39" customWidth="1"/>
    <col min="16" max="16" width="35.85546875" style="39" customWidth="1"/>
    <col min="17" max="17" width="24.42578125" style="39" customWidth="1"/>
    <col min="18" max="18" width="38.7109375" style="39" bestFit="1" customWidth="1"/>
    <col min="19" max="16384" width="8.7109375" style="39"/>
  </cols>
  <sheetData>
    <row r="1" spans="1:21" s="32" customFormat="1" ht="29.45" thickBot="1">
      <c r="A1" s="28" t="s">
        <v>312</v>
      </c>
      <c r="B1" s="29" t="s">
        <v>313</v>
      </c>
      <c r="C1" s="29" t="s">
        <v>40</v>
      </c>
      <c r="D1" s="29" t="s">
        <v>39</v>
      </c>
      <c r="E1" s="29" t="s">
        <v>314</v>
      </c>
      <c r="F1" s="29" t="s">
        <v>315</v>
      </c>
      <c r="G1" s="29" t="s">
        <v>316</v>
      </c>
      <c r="H1" s="29" t="s">
        <v>317</v>
      </c>
      <c r="I1" s="29" t="s">
        <v>318</v>
      </c>
      <c r="J1" s="29" t="s">
        <v>319</v>
      </c>
      <c r="K1" s="29" t="s">
        <v>320</v>
      </c>
      <c r="L1" s="29" t="s">
        <v>321</v>
      </c>
      <c r="M1" s="29" t="s">
        <v>322</v>
      </c>
      <c r="N1" s="29" t="s">
        <v>323</v>
      </c>
      <c r="O1" s="30" t="s">
        <v>324</v>
      </c>
      <c r="P1" s="30" t="s">
        <v>325</v>
      </c>
      <c r="Q1" s="31" t="s">
        <v>326</v>
      </c>
    </row>
    <row r="2" spans="1:21" ht="14.45" customHeight="1" thickTop="1">
      <c r="A2" s="33">
        <v>1</v>
      </c>
      <c r="B2" s="34">
        <v>11073301</v>
      </c>
      <c r="C2" s="35" t="s">
        <v>327</v>
      </c>
      <c r="D2" s="35" t="s">
        <v>58</v>
      </c>
      <c r="E2" s="35" t="s">
        <v>328</v>
      </c>
      <c r="F2" s="35">
        <v>8</v>
      </c>
      <c r="G2" s="35" t="s">
        <v>329</v>
      </c>
      <c r="H2" s="35" t="s">
        <v>330</v>
      </c>
      <c r="I2" s="35" t="s">
        <v>331</v>
      </c>
      <c r="J2" s="35" t="s">
        <v>332</v>
      </c>
      <c r="K2" s="35" t="s">
        <v>333</v>
      </c>
      <c r="L2" s="35" t="s">
        <v>334</v>
      </c>
      <c r="M2" s="35" t="s">
        <v>335</v>
      </c>
      <c r="N2" s="35">
        <v>820</v>
      </c>
      <c r="O2" s="36">
        <v>24.34</v>
      </c>
      <c r="P2" s="37" t="s">
        <v>336</v>
      </c>
      <c r="Q2" s="38"/>
      <c r="U2" s="39" t="s">
        <v>337</v>
      </c>
    </row>
    <row r="3" spans="1:21">
      <c r="A3" s="33">
        <v>2</v>
      </c>
      <c r="B3" s="40">
        <v>11080700</v>
      </c>
      <c r="C3" s="41" t="s">
        <v>338</v>
      </c>
      <c r="D3" s="41" t="s">
        <v>58</v>
      </c>
      <c r="E3" s="41" t="s">
        <v>339</v>
      </c>
      <c r="F3" s="41">
        <v>8</v>
      </c>
      <c r="G3" s="41" t="s">
        <v>329</v>
      </c>
      <c r="H3" s="41" t="s">
        <v>330</v>
      </c>
      <c r="I3" s="41" t="s">
        <v>331</v>
      </c>
      <c r="J3" s="41" t="s">
        <v>340</v>
      </c>
      <c r="K3" s="41" t="s">
        <v>341</v>
      </c>
      <c r="L3" s="41" t="s">
        <v>334</v>
      </c>
      <c r="M3" s="41" t="s">
        <v>335</v>
      </c>
      <c r="N3" s="41">
        <v>130</v>
      </c>
      <c r="O3" s="42">
        <v>26.247</v>
      </c>
      <c r="P3" s="43" t="s">
        <v>27</v>
      </c>
      <c r="Q3" s="38"/>
      <c r="U3" s="44"/>
    </row>
    <row r="4" spans="1:21" ht="29.45" thickBot="1">
      <c r="A4" s="33">
        <v>3</v>
      </c>
      <c r="B4" s="45">
        <v>11087427</v>
      </c>
      <c r="C4" s="46" t="s">
        <v>342</v>
      </c>
      <c r="D4" s="47" t="s">
        <v>58</v>
      </c>
      <c r="E4" s="47" t="s">
        <v>343</v>
      </c>
      <c r="F4" s="47">
        <v>8</v>
      </c>
      <c r="G4" s="47" t="s">
        <v>329</v>
      </c>
      <c r="H4" s="47" t="s">
        <v>330</v>
      </c>
      <c r="I4" s="47" t="s">
        <v>331</v>
      </c>
      <c r="J4" s="47" t="s">
        <v>332</v>
      </c>
      <c r="K4" s="47" t="s">
        <v>344</v>
      </c>
      <c r="L4" s="47" t="s">
        <v>334</v>
      </c>
      <c r="M4" s="47" t="s">
        <v>335</v>
      </c>
      <c r="N4" s="47">
        <v>400</v>
      </c>
      <c r="O4" s="48">
        <v>28.699000000000002</v>
      </c>
      <c r="P4" s="49" t="s">
        <v>345</v>
      </c>
      <c r="Q4" s="38"/>
      <c r="R4" s="39" t="s">
        <v>346</v>
      </c>
      <c r="U4" s="50"/>
    </row>
    <row r="5" spans="1:21" ht="15" thickTop="1">
      <c r="A5" s="51">
        <v>4</v>
      </c>
      <c r="B5" s="52">
        <v>11093506</v>
      </c>
      <c r="C5" s="52" t="s">
        <v>347</v>
      </c>
      <c r="D5" s="52" t="s">
        <v>58</v>
      </c>
      <c r="E5" s="52" t="s">
        <v>348</v>
      </c>
      <c r="F5" s="52">
        <v>8</v>
      </c>
      <c r="G5" s="52" t="s">
        <v>329</v>
      </c>
      <c r="H5" s="52" t="s">
        <v>349</v>
      </c>
      <c r="I5" s="52" t="s">
        <v>350</v>
      </c>
      <c r="J5" s="52"/>
      <c r="K5" s="52"/>
      <c r="L5" s="52" t="s">
        <v>334</v>
      </c>
      <c r="M5" s="52" t="s">
        <v>335</v>
      </c>
      <c r="N5" s="52">
        <v>10</v>
      </c>
      <c r="O5" s="53">
        <v>27.529</v>
      </c>
      <c r="P5" s="53" t="s">
        <v>351</v>
      </c>
      <c r="Q5" s="54"/>
      <c r="R5" s="39" t="s">
        <v>352</v>
      </c>
      <c r="U5" s="55"/>
    </row>
    <row r="6" spans="1:21" ht="15" customHeight="1" thickBot="1">
      <c r="A6" s="51">
        <v>5</v>
      </c>
      <c r="B6" s="56">
        <v>11101266</v>
      </c>
      <c r="C6" s="56" t="s">
        <v>353</v>
      </c>
      <c r="D6" s="56" t="s">
        <v>58</v>
      </c>
      <c r="E6" s="56" t="s">
        <v>354</v>
      </c>
      <c r="F6" s="56">
        <v>11</v>
      </c>
      <c r="G6" s="56" t="s">
        <v>329</v>
      </c>
      <c r="H6" s="56" t="s">
        <v>355</v>
      </c>
      <c r="I6" s="56" t="s">
        <v>356</v>
      </c>
      <c r="J6" s="56"/>
      <c r="K6" s="56"/>
      <c r="L6" s="56" t="s">
        <v>334</v>
      </c>
      <c r="M6" s="56" t="s">
        <v>335</v>
      </c>
      <c r="N6" s="56">
        <v>0</v>
      </c>
      <c r="O6" s="57">
        <v>0</v>
      </c>
      <c r="P6" s="57" t="s">
        <v>357</v>
      </c>
      <c r="Q6" s="54"/>
      <c r="U6" s="50"/>
    </row>
    <row r="7" spans="1:21" ht="14.45" customHeight="1" thickTop="1">
      <c r="A7" s="58">
        <v>6</v>
      </c>
      <c r="B7" s="59">
        <v>11051381</v>
      </c>
      <c r="C7" s="60" t="s">
        <v>358</v>
      </c>
      <c r="D7" s="60" t="s">
        <v>359</v>
      </c>
      <c r="E7" s="60" t="s">
        <v>360</v>
      </c>
      <c r="F7" s="60">
        <v>8</v>
      </c>
      <c r="G7" s="60" t="s">
        <v>349</v>
      </c>
      <c r="H7" s="60" t="s">
        <v>361</v>
      </c>
      <c r="I7" s="60" t="s">
        <v>362</v>
      </c>
      <c r="J7" s="60"/>
      <c r="K7" s="60"/>
      <c r="L7" s="60" t="s">
        <v>363</v>
      </c>
      <c r="M7" s="60" t="s">
        <v>364</v>
      </c>
      <c r="N7" s="60">
        <v>800</v>
      </c>
      <c r="O7" s="61">
        <v>15.776999999999999</v>
      </c>
      <c r="P7" s="62" t="s">
        <v>365</v>
      </c>
      <c r="Q7" s="63"/>
    </row>
    <row r="8" spans="1:21" ht="47.45" customHeight="1" thickBot="1">
      <c r="A8" s="64">
        <v>11</v>
      </c>
      <c r="B8" s="65">
        <v>11079682</v>
      </c>
      <c r="C8" s="66" t="s">
        <v>366</v>
      </c>
      <c r="D8" s="66" t="s">
        <v>58</v>
      </c>
      <c r="E8" s="66" t="s">
        <v>328</v>
      </c>
      <c r="F8" s="66">
        <v>0</v>
      </c>
      <c r="G8" s="66" t="s">
        <v>349</v>
      </c>
      <c r="H8" s="66" t="s">
        <v>367</v>
      </c>
      <c r="I8" s="66" t="s">
        <v>368</v>
      </c>
      <c r="J8" s="66"/>
      <c r="K8" s="66"/>
      <c r="L8" s="66" t="s">
        <v>363</v>
      </c>
      <c r="M8" s="66" t="s">
        <v>364</v>
      </c>
      <c r="N8" s="66">
        <v>1230</v>
      </c>
      <c r="O8" s="67">
        <v>16.239999999999998</v>
      </c>
      <c r="P8" s="68" t="s">
        <v>365</v>
      </c>
      <c r="Q8" s="69" t="s">
        <v>369</v>
      </c>
      <c r="R8" s="39" t="s">
        <v>370</v>
      </c>
      <c r="S8" s="39" t="s">
        <v>371</v>
      </c>
    </row>
    <row r="9" spans="1:21" ht="15.6" thickTop="1" thickBot="1">
      <c r="A9" s="64">
        <v>12</v>
      </c>
      <c r="B9" s="70">
        <v>11082237</v>
      </c>
      <c r="C9" s="71" t="s">
        <v>372</v>
      </c>
      <c r="D9" s="71" t="s">
        <v>58</v>
      </c>
      <c r="E9" s="71" t="s">
        <v>360</v>
      </c>
      <c r="F9" s="71">
        <v>8</v>
      </c>
      <c r="G9" s="71" t="s">
        <v>349</v>
      </c>
      <c r="H9" s="71" t="s">
        <v>367</v>
      </c>
      <c r="I9" s="71" t="s">
        <v>362</v>
      </c>
      <c r="J9" s="71"/>
      <c r="K9" s="71"/>
      <c r="L9" s="71" t="s">
        <v>363</v>
      </c>
      <c r="M9" s="71" t="s">
        <v>364</v>
      </c>
      <c r="N9" s="71">
        <v>180</v>
      </c>
      <c r="O9" s="72">
        <v>22.364000000000001</v>
      </c>
      <c r="P9" s="73" t="s">
        <v>373</v>
      </c>
      <c r="Q9" s="69"/>
      <c r="R9" s="39" t="s">
        <v>374</v>
      </c>
      <c r="S9" s="39" t="s">
        <v>375</v>
      </c>
    </row>
    <row r="10" spans="1:21" ht="15" thickTop="1">
      <c r="A10" s="74">
        <v>7</v>
      </c>
      <c r="B10" s="75">
        <v>11053588</v>
      </c>
      <c r="C10" s="75" t="s">
        <v>376</v>
      </c>
      <c r="D10" s="75" t="s">
        <v>359</v>
      </c>
      <c r="E10" s="75" t="s">
        <v>377</v>
      </c>
      <c r="F10" s="75">
        <v>8</v>
      </c>
      <c r="G10" s="75" t="s">
        <v>378</v>
      </c>
      <c r="H10" s="75" t="s">
        <v>367</v>
      </c>
      <c r="I10" s="75" t="s">
        <v>379</v>
      </c>
      <c r="J10" s="75"/>
      <c r="K10" s="75"/>
      <c r="L10" s="75" t="s">
        <v>363</v>
      </c>
      <c r="M10" s="76" t="s">
        <v>364</v>
      </c>
      <c r="N10" s="75">
        <v>4600</v>
      </c>
      <c r="O10" s="77">
        <v>14.345000000000001</v>
      </c>
      <c r="P10" s="77" t="s">
        <v>380</v>
      </c>
      <c r="Q10" s="78"/>
    </row>
    <row r="11" spans="1:21" ht="29.1">
      <c r="A11" s="74">
        <v>8</v>
      </c>
      <c r="B11" s="78">
        <v>11059028</v>
      </c>
      <c r="C11" s="78" t="s">
        <v>381</v>
      </c>
      <c r="D11" s="78" t="s">
        <v>359</v>
      </c>
      <c r="E11" s="78" t="s">
        <v>382</v>
      </c>
      <c r="F11" s="78">
        <v>4</v>
      </c>
      <c r="G11" s="78" t="s">
        <v>349</v>
      </c>
      <c r="H11" s="78" t="s">
        <v>383</v>
      </c>
      <c r="I11" s="78" t="s">
        <v>379</v>
      </c>
      <c r="J11" s="78"/>
      <c r="K11" s="78"/>
      <c r="L11" s="78" t="s">
        <v>363</v>
      </c>
      <c r="M11" s="79" t="s">
        <v>364</v>
      </c>
      <c r="N11" s="78">
        <v>6350</v>
      </c>
      <c r="O11" s="80">
        <v>13.451000000000001</v>
      </c>
      <c r="P11" s="80" t="s">
        <v>384</v>
      </c>
      <c r="Q11" s="78" t="s">
        <v>385</v>
      </c>
    </row>
    <row r="12" spans="1:21">
      <c r="A12" s="74">
        <v>9</v>
      </c>
      <c r="B12" s="78">
        <v>11078391</v>
      </c>
      <c r="C12" s="78" t="s">
        <v>386</v>
      </c>
      <c r="D12" s="78" t="s">
        <v>58</v>
      </c>
      <c r="E12" s="78" t="s">
        <v>387</v>
      </c>
      <c r="F12" s="78">
        <v>8</v>
      </c>
      <c r="G12" s="78" t="s">
        <v>388</v>
      </c>
      <c r="H12" s="78" t="s">
        <v>330</v>
      </c>
      <c r="I12" s="78" t="s">
        <v>379</v>
      </c>
      <c r="J12" s="78"/>
      <c r="K12" s="78"/>
      <c r="L12" s="78" t="s">
        <v>363</v>
      </c>
      <c r="M12" s="79" t="s">
        <v>364</v>
      </c>
      <c r="N12" s="78">
        <v>5500</v>
      </c>
      <c r="O12" s="80">
        <v>20.614999999999998</v>
      </c>
      <c r="P12" s="80" t="s">
        <v>389</v>
      </c>
      <c r="Q12" s="78"/>
    </row>
    <row r="13" spans="1:21" ht="18" customHeight="1" thickBot="1">
      <c r="A13" s="74">
        <v>10</v>
      </c>
      <c r="B13" s="79">
        <v>11079508</v>
      </c>
      <c r="C13" s="79" t="s">
        <v>390</v>
      </c>
      <c r="D13" s="79" t="s">
        <v>58</v>
      </c>
      <c r="E13" s="79" t="s">
        <v>391</v>
      </c>
      <c r="F13" s="79">
        <v>8</v>
      </c>
      <c r="G13" s="79" t="s">
        <v>388</v>
      </c>
      <c r="H13" s="79" t="s">
        <v>392</v>
      </c>
      <c r="I13" s="79" t="s">
        <v>362</v>
      </c>
      <c r="J13" s="79"/>
      <c r="K13" s="79"/>
      <c r="L13" s="79" t="s">
        <v>363</v>
      </c>
      <c r="M13" s="79" t="s">
        <v>335</v>
      </c>
      <c r="N13" s="79">
        <v>100</v>
      </c>
      <c r="O13" s="81">
        <v>16.317</v>
      </c>
      <c r="P13" s="81" t="s">
        <v>393</v>
      </c>
      <c r="Q13" s="78"/>
    </row>
    <row r="14" spans="1:21" ht="30" thickTop="1" thickBot="1">
      <c r="A14" s="82">
        <v>13</v>
      </c>
      <c r="B14" s="83">
        <v>11039987</v>
      </c>
      <c r="C14" s="84" t="s">
        <v>394</v>
      </c>
      <c r="D14" s="84" t="s">
        <v>359</v>
      </c>
      <c r="E14" s="84" t="s">
        <v>395</v>
      </c>
      <c r="F14" s="84">
        <v>11</v>
      </c>
      <c r="G14" s="84" t="s">
        <v>396</v>
      </c>
      <c r="H14" s="84" t="s">
        <v>397</v>
      </c>
      <c r="I14" s="84" t="s">
        <v>368</v>
      </c>
      <c r="J14" s="84"/>
      <c r="K14" s="84"/>
      <c r="L14" s="84" t="s">
        <v>398</v>
      </c>
      <c r="M14" s="84" t="s">
        <v>364</v>
      </c>
      <c r="N14" s="84">
        <v>14500</v>
      </c>
      <c r="O14" s="85">
        <v>14.371</v>
      </c>
      <c r="P14" s="86" t="s">
        <v>399</v>
      </c>
      <c r="Q14" s="87" t="s">
        <v>400</v>
      </c>
      <c r="R14" s="39" t="s">
        <v>401</v>
      </c>
    </row>
    <row r="15" spans="1:21" ht="29.45" thickTop="1">
      <c r="A15" s="88">
        <v>14</v>
      </c>
      <c r="B15" s="89">
        <v>11079703</v>
      </c>
      <c r="C15" s="90" t="s">
        <v>402</v>
      </c>
      <c r="D15" s="90" t="s">
        <v>58</v>
      </c>
      <c r="E15" s="90" t="s">
        <v>403</v>
      </c>
      <c r="F15" s="90">
        <v>4</v>
      </c>
      <c r="G15" s="90" t="s">
        <v>396</v>
      </c>
      <c r="H15" s="90" t="s">
        <v>367</v>
      </c>
      <c r="I15" s="90" t="s">
        <v>362</v>
      </c>
      <c r="J15" s="90"/>
      <c r="K15" s="90"/>
      <c r="L15" s="90" t="s">
        <v>398</v>
      </c>
      <c r="M15" s="90" t="s">
        <v>335</v>
      </c>
      <c r="N15" s="90">
        <v>4280</v>
      </c>
      <c r="O15" s="91">
        <v>18.331</v>
      </c>
      <c r="P15" s="92" t="s">
        <v>404</v>
      </c>
      <c r="Q15" s="93" t="s">
        <v>405</v>
      </c>
      <c r="R15" s="39" t="s">
        <v>406</v>
      </c>
      <c r="U15" s="39" t="s">
        <v>407</v>
      </c>
    </row>
    <row r="16" spans="1:21" ht="18" customHeight="1" thickBot="1">
      <c r="A16" s="88">
        <v>15</v>
      </c>
      <c r="B16" s="94">
        <v>11090520</v>
      </c>
      <c r="C16" s="95" t="s">
        <v>408</v>
      </c>
      <c r="D16" s="95" t="s">
        <v>58</v>
      </c>
      <c r="E16" s="95" t="s">
        <v>409</v>
      </c>
      <c r="F16" s="96">
        <v>11</v>
      </c>
      <c r="G16" s="95" t="s">
        <v>396</v>
      </c>
      <c r="H16" s="95" t="s">
        <v>410</v>
      </c>
      <c r="I16" s="95" t="s">
        <v>362</v>
      </c>
      <c r="J16" s="95"/>
      <c r="K16" s="95"/>
      <c r="L16" s="95" t="s">
        <v>398</v>
      </c>
      <c r="M16" s="95" t="s">
        <v>364</v>
      </c>
      <c r="N16" s="95">
        <v>830</v>
      </c>
      <c r="O16" s="97">
        <v>14.553000000000001</v>
      </c>
      <c r="P16" s="98" t="s">
        <v>411</v>
      </c>
      <c r="Q16" s="93"/>
      <c r="R16" s="39" t="s">
        <v>412</v>
      </c>
      <c r="U16" s="39" t="s">
        <v>413</v>
      </c>
    </row>
    <row r="17" spans="1:18" ht="15" thickTop="1">
      <c r="A17" s="99">
        <v>16</v>
      </c>
      <c r="B17" s="100">
        <v>11119925</v>
      </c>
      <c r="C17" s="100" t="s">
        <v>414</v>
      </c>
      <c r="D17" s="100" t="s">
        <v>58</v>
      </c>
      <c r="E17" s="100" t="s">
        <v>415</v>
      </c>
      <c r="F17" s="100">
        <v>8</v>
      </c>
      <c r="G17" s="100" t="s">
        <v>396</v>
      </c>
      <c r="H17" s="100" t="s">
        <v>410</v>
      </c>
      <c r="I17" s="100" t="s">
        <v>416</v>
      </c>
      <c r="J17" s="100"/>
      <c r="K17" s="100"/>
      <c r="L17" s="100" t="s">
        <v>398</v>
      </c>
      <c r="M17" s="100" t="s">
        <v>364</v>
      </c>
      <c r="N17" s="100">
        <v>110</v>
      </c>
      <c r="O17" s="101">
        <v>18.722999999999999</v>
      </c>
      <c r="P17" s="101" t="s">
        <v>417</v>
      </c>
      <c r="Q17" s="102"/>
    </row>
    <row r="18" spans="1:18" ht="15" thickBot="1">
      <c r="A18" s="103">
        <v>17</v>
      </c>
      <c r="B18" s="29">
        <v>11073317</v>
      </c>
      <c r="C18" s="29" t="s">
        <v>418</v>
      </c>
      <c r="D18" s="29" t="s">
        <v>58</v>
      </c>
      <c r="E18" s="29" t="s">
        <v>419</v>
      </c>
      <c r="F18" s="29">
        <v>8</v>
      </c>
      <c r="G18" s="29" t="s">
        <v>420</v>
      </c>
      <c r="H18" s="29" t="s">
        <v>397</v>
      </c>
      <c r="I18" s="29" t="s">
        <v>421</v>
      </c>
      <c r="J18" s="29"/>
      <c r="K18" s="29"/>
      <c r="L18" s="29" t="s">
        <v>422</v>
      </c>
      <c r="M18" s="29" t="s">
        <v>364</v>
      </c>
      <c r="N18" s="29">
        <v>380</v>
      </c>
      <c r="O18" s="30">
        <v>23.933</v>
      </c>
      <c r="P18" s="30" t="s">
        <v>21</v>
      </c>
      <c r="Q18" s="31"/>
    </row>
    <row r="19" spans="1:18" ht="15" thickTop="1">
      <c r="A19" s="104">
        <v>18</v>
      </c>
      <c r="B19" s="105">
        <v>11047626</v>
      </c>
      <c r="C19" s="106" t="s">
        <v>423</v>
      </c>
      <c r="D19" s="106" t="s">
        <v>58</v>
      </c>
      <c r="E19" s="106" t="s">
        <v>424</v>
      </c>
      <c r="F19" s="106">
        <v>4</v>
      </c>
      <c r="G19" s="106" t="s">
        <v>361</v>
      </c>
      <c r="H19" s="106" t="s">
        <v>425</v>
      </c>
      <c r="I19" s="106" t="s">
        <v>426</v>
      </c>
      <c r="J19" s="106"/>
      <c r="K19" s="106"/>
      <c r="L19" s="106" t="s">
        <v>427</v>
      </c>
      <c r="M19" s="106" t="s">
        <v>335</v>
      </c>
      <c r="N19" s="106">
        <v>270</v>
      </c>
      <c r="O19" s="107">
        <v>64.076999999999998</v>
      </c>
      <c r="P19" s="108" t="s">
        <v>428</v>
      </c>
      <c r="Q19" s="109"/>
    </row>
    <row r="20" spans="1:18" ht="14.45" customHeight="1" thickBot="1">
      <c r="A20" s="104">
        <v>19</v>
      </c>
      <c r="B20" s="110">
        <v>11079564</v>
      </c>
      <c r="C20" s="111" t="s">
        <v>429</v>
      </c>
      <c r="D20" s="111" t="s">
        <v>58</v>
      </c>
      <c r="E20" s="111" t="s">
        <v>328</v>
      </c>
      <c r="F20" s="111">
        <v>8</v>
      </c>
      <c r="G20" s="111" t="s">
        <v>361</v>
      </c>
      <c r="H20" s="111" t="s">
        <v>430</v>
      </c>
      <c r="I20" s="111" t="s">
        <v>431</v>
      </c>
      <c r="J20" s="111"/>
      <c r="K20" s="111"/>
      <c r="L20" s="111" t="s">
        <v>427</v>
      </c>
      <c r="M20" s="111" t="s">
        <v>364</v>
      </c>
      <c r="N20" s="111">
        <v>0</v>
      </c>
      <c r="O20" s="112">
        <v>0</v>
      </c>
      <c r="P20" s="113" t="s">
        <v>432</v>
      </c>
      <c r="Q20" s="109" t="s">
        <v>433</v>
      </c>
      <c r="R20" s="39" t="s">
        <v>434</v>
      </c>
    </row>
    <row r="21" spans="1:18" ht="15" thickTop="1">
      <c r="A21" s="114">
        <v>20</v>
      </c>
      <c r="B21" s="115">
        <v>11119926</v>
      </c>
      <c r="C21" s="115" t="s">
        <v>435</v>
      </c>
      <c r="D21" s="115" t="s">
        <v>58</v>
      </c>
      <c r="E21" s="115" t="s">
        <v>436</v>
      </c>
      <c r="F21" s="115">
        <v>8</v>
      </c>
      <c r="G21" s="115" t="s">
        <v>361</v>
      </c>
      <c r="H21" s="115" t="s">
        <v>410</v>
      </c>
      <c r="I21" s="115" t="s">
        <v>416</v>
      </c>
      <c r="J21" s="115"/>
      <c r="K21" s="115"/>
      <c r="L21" s="115" t="s">
        <v>427</v>
      </c>
      <c r="M21" s="115" t="s">
        <v>364</v>
      </c>
      <c r="N21" s="115">
        <v>270</v>
      </c>
      <c r="O21" s="116">
        <v>18.692</v>
      </c>
      <c r="P21" s="116" t="s">
        <v>417</v>
      </c>
      <c r="Q21" s="117"/>
    </row>
    <row r="24" spans="1:18">
      <c r="C24" s="119" t="s">
        <v>437</v>
      </c>
    </row>
    <row r="25" spans="1:18">
      <c r="C25" s="39" t="s">
        <v>438</v>
      </c>
    </row>
    <row r="26" spans="1:18">
      <c r="C26" s="39" t="s">
        <v>439</v>
      </c>
    </row>
    <row r="27" spans="1:18">
      <c r="C27" s="39" t="s">
        <v>440</v>
      </c>
    </row>
    <row r="28" spans="1:18">
      <c r="C28" s="39" t="s">
        <v>441</v>
      </c>
    </row>
    <row r="29" spans="1:18">
      <c r="C29" s="39" t="s">
        <v>442</v>
      </c>
    </row>
    <row r="30" spans="1:18">
      <c r="C30" s="39" t="s">
        <v>443</v>
      </c>
    </row>
    <row r="31" spans="1:18">
      <c r="C31" s="39" t="s">
        <v>444</v>
      </c>
    </row>
    <row r="32" spans="1:18">
      <c r="C32" s="39" t="s">
        <v>445</v>
      </c>
    </row>
  </sheetData>
  <autoFilter ref="A1:U1" xr:uid="{03089AFD-BE3C-46D6-B88D-6AC7CDAAD028}"/>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CEEC6-F1A6-4B08-A2A3-DB7395AADBBC}">
  <dimension ref="A1:Q51"/>
  <sheetViews>
    <sheetView zoomScaleNormal="100" workbookViewId="0">
      <selection activeCell="A12" sqref="A12"/>
    </sheetView>
  </sheetViews>
  <sheetFormatPr defaultRowHeight="14.45"/>
  <cols>
    <col min="1" max="1" width="9.140625" style="188"/>
    <col min="2" max="2" width="40.7109375" style="188" customWidth="1"/>
    <col min="3" max="3" width="13.42578125" style="188" customWidth="1"/>
    <col min="4" max="4" width="17.28515625" style="188" customWidth="1"/>
    <col min="5" max="5" width="18.140625" style="188" customWidth="1"/>
    <col min="6" max="6" width="38" style="188" customWidth="1"/>
    <col min="7" max="7" width="50.85546875" style="188" customWidth="1"/>
    <col min="8" max="8" width="21.28515625" style="188" customWidth="1"/>
    <col min="9" max="9" width="14.28515625" style="188" customWidth="1"/>
    <col min="10" max="10" width="51.42578125" customWidth="1"/>
    <col min="11" max="11" width="61.5703125" customWidth="1"/>
  </cols>
  <sheetData>
    <row r="1" spans="1:11" ht="15" thickBot="1"/>
    <row r="2" spans="1:11" ht="15" thickBot="1">
      <c r="A2" s="189" t="s">
        <v>446</v>
      </c>
      <c r="B2" s="189" t="s">
        <v>447</v>
      </c>
      <c r="C2" s="187" t="s">
        <v>322</v>
      </c>
      <c r="D2" s="187" t="s">
        <v>448</v>
      </c>
      <c r="E2" s="187" t="s">
        <v>449</v>
      </c>
      <c r="F2" s="202" t="s">
        <v>450</v>
      </c>
      <c r="G2" s="202" t="s">
        <v>451</v>
      </c>
      <c r="H2" s="187" t="s">
        <v>452</v>
      </c>
      <c r="I2" s="189" t="s">
        <v>453</v>
      </c>
      <c r="J2" s="187" t="s">
        <v>454</v>
      </c>
      <c r="K2" s="187" t="s">
        <v>455</v>
      </c>
    </row>
    <row r="3" spans="1:11">
      <c r="A3" s="200" t="s">
        <v>359</v>
      </c>
      <c r="B3" s="200" t="s">
        <v>155</v>
      </c>
      <c r="C3" s="200" t="s">
        <v>456</v>
      </c>
      <c r="D3" s="200" t="s">
        <v>457</v>
      </c>
      <c r="E3" s="200">
        <v>3.46</v>
      </c>
      <c r="F3" s="200" t="s">
        <v>458</v>
      </c>
      <c r="G3" s="200">
        <v>3.8</v>
      </c>
      <c r="H3" s="200">
        <v>1850</v>
      </c>
      <c r="I3" s="199" t="s">
        <v>459</v>
      </c>
      <c r="J3" s="201" t="s">
        <v>460</v>
      </c>
      <c r="K3" s="201" t="s">
        <v>461</v>
      </c>
    </row>
    <row r="4" spans="1:11">
      <c r="A4" s="190" t="s">
        <v>359</v>
      </c>
      <c r="B4" s="190" t="s">
        <v>462</v>
      </c>
      <c r="C4" s="190" t="s">
        <v>463</v>
      </c>
      <c r="D4" s="191" t="s">
        <v>464</v>
      </c>
      <c r="E4" s="190">
        <v>3.7</v>
      </c>
      <c r="F4" s="192">
        <v>7.0000000000000007E-2</v>
      </c>
      <c r="G4" s="190">
        <v>4.5199999999999996</v>
      </c>
      <c r="H4" s="190">
        <v>1900</v>
      </c>
      <c r="I4" s="198" t="s">
        <v>459</v>
      </c>
      <c r="J4" s="136" t="s">
        <v>465</v>
      </c>
      <c r="K4" s="136" t="s">
        <v>466</v>
      </c>
    </row>
    <row r="5" spans="1:11" ht="15" thickBot="1">
      <c r="A5" s="205" t="s">
        <v>359</v>
      </c>
      <c r="B5" s="205" t="s">
        <v>467</v>
      </c>
      <c r="C5" s="205" t="s">
        <v>468</v>
      </c>
      <c r="D5" s="206" t="s">
        <v>464</v>
      </c>
      <c r="E5" s="205">
        <v>3.8</v>
      </c>
      <c r="F5" s="207">
        <v>0.1</v>
      </c>
      <c r="G5" s="205">
        <v>4.38</v>
      </c>
      <c r="H5" s="205">
        <v>1850</v>
      </c>
      <c r="I5" s="208" t="s">
        <v>469</v>
      </c>
      <c r="J5" s="209" t="s">
        <v>465</v>
      </c>
      <c r="K5" s="209" t="s">
        <v>470</v>
      </c>
    </row>
    <row r="6" spans="1:11">
      <c r="A6" s="200" t="s">
        <v>58</v>
      </c>
      <c r="B6" s="200" t="s">
        <v>115</v>
      </c>
      <c r="C6" s="200" t="s">
        <v>471</v>
      </c>
      <c r="D6" s="210" t="s">
        <v>457</v>
      </c>
      <c r="E6" s="200">
        <v>6.5</v>
      </c>
      <c r="F6" s="211" t="s">
        <v>472</v>
      </c>
      <c r="G6" s="200">
        <v>4.25</v>
      </c>
      <c r="H6" s="200">
        <v>2000</v>
      </c>
      <c r="I6" s="199" t="s">
        <v>67</v>
      </c>
      <c r="J6" s="201" t="s">
        <v>473</v>
      </c>
      <c r="K6" s="201" t="s">
        <v>461</v>
      </c>
    </row>
    <row r="7" spans="1:11" ht="15" thickBot="1">
      <c r="A7" s="205" t="s">
        <v>58</v>
      </c>
      <c r="B7" s="212" t="s">
        <v>474</v>
      </c>
      <c r="C7" s="205" t="s">
        <v>471</v>
      </c>
      <c r="D7" s="206" t="s">
        <v>464</v>
      </c>
      <c r="E7" s="205">
        <v>6.8</v>
      </c>
      <c r="F7" s="207">
        <v>4.5999999999999999E-2</v>
      </c>
      <c r="G7" s="205">
        <v>4.25</v>
      </c>
      <c r="H7" s="205">
        <v>2000</v>
      </c>
      <c r="I7" s="208" t="s">
        <v>67</v>
      </c>
      <c r="J7" s="209" t="s">
        <v>465</v>
      </c>
      <c r="K7" s="222" t="s">
        <v>475</v>
      </c>
    </row>
    <row r="8" spans="1:11">
      <c r="A8" s="193" t="s">
        <v>58</v>
      </c>
      <c r="B8" s="193" t="s">
        <v>476</v>
      </c>
      <c r="C8" s="193" t="s">
        <v>471</v>
      </c>
      <c r="D8" s="194" t="s">
        <v>457</v>
      </c>
      <c r="E8" s="193">
        <v>6.6</v>
      </c>
      <c r="F8" s="195" t="s">
        <v>477</v>
      </c>
      <c r="G8" s="193">
        <v>4.25</v>
      </c>
      <c r="H8" s="193">
        <v>2000</v>
      </c>
      <c r="I8" s="197" t="s">
        <v>478</v>
      </c>
      <c r="J8" s="203" t="s">
        <v>479</v>
      </c>
      <c r="K8" s="201" t="s">
        <v>480</v>
      </c>
    </row>
    <row r="9" spans="1:11">
      <c r="A9" s="190" t="s">
        <v>58</v>
      </c>
      <c r="B9" s="196" t="s">
        <v>481</v>
      </c>
      <c r="C9" s="190" t="s">
        <v>471</v>
      </c>
      <c r="D9" s="191" t="s">
        <v>464</v>
      </c>
      <c r="E9" s="190">
        <v>7.1</v>
      </c>
      <c r="F9" s="192">
        <v>7.5999999999999998E-2</v>
      </c>
      <c r="G9" s="190">
        <v>4.25</v>
      </c>
      <c r="H9" s="190">
        <v>2000</v>
      </c>
      <c r="I9" s="198" t="s">
        <v>478</v>
      </c>
      <c r="J9" s="136" t="s">
        <v>465</v>
      </c>
      <c r="K9" s="136" t="s">
        <v>475</v>
      </c>
    </row>
    <row r="10" spans="1:11">
      <c r="A10" s="190" t="s">
        <v>58</v>
      </c>
      <c r="B10" s="190" t="s">
        <v>482</v>
      </c>
      <c r="C10" s="190" t="s">
        <v>483</v>
      </c>
      <c r="D10" s="191" t="s">
        <v>457</v>
      </c>
      <c r="E10" s="190">
        <v>7.1</v>
      </c>
      <c r="F10" s="192">
        <v>7.5999999999999998E-2</v>
      </c>
      <c r="G10" s="190">
        <v>4.25</v>
      </c>
      <c r="H10" s="190">
        <v>2050</v>
      </c>
      <c r="I10" s="198" t="s">
        <v>478</v>
      </c>
      <c r="J10" s="136" t="s">
        <v>479</v>
      </c>
      <c r="K10" s="136" t="s">
        <v>484</v>
      </c>
    </row>
    <row r="11" spans="1:11" ht="15" thickBot="1">
      <c r="A11" s="223" t="s">
        <v>58</v>
      </c>
      <c r="B11" s="224" t="s">
        <v>485</v>
      </c>
      <c r="C11" s="223" t="s">
        <v>483</v>
      </c>
      <c r="D11" s="225" t="s">
        <v>464</v>
      </c>
      <c r="E11" s="223">
        <v>7.6</v>
      </c>
      <c r="F11" s="226">
        <v>0.152</v>
      </c>
      <c r="G11" s="223">
        <v>4.25</v>
      </c>
      <c r="H11" s="223">
        <v>2050</v>
      </c>
      <c r="I11" s="227" t="s">
        <v>478</v>
      </c>
      <c r="J11" s="222" t="s">
        <v>465</v>
      </c>
      <c r="K11" s="222" t="s">
        <v>486</v>
      </c>
    </row>
    <row r="14" spans="1:11">
      <c r="D14" s="204"/>
      <c r="F14" s="204"/>
    </row>
    <row r="15" spans="1:11" ht="15" thickBot="1">
      <c r="A15" s="204"/>
      <c r="D15" s="204"/>
      <c r="F15" s="204"/>
    </row>
    <row r="16" spans="1:11" ht="15" thickBot="1">
      <c r="A16" s="216" t="s">
        <v>446</v>
      </c>
      <c r="B16" s="217" t="s">
        <v>322</v>
      </c>
      <c r="C16" s="217" t="s">
        <v>487</v>
      </c>
      <c r="D16" s="217" t="s">
        <v>450</v>
      </c>
      <c r="E16" s="217" t="s">
        <v>488</v>
      </c>
      <c r="F16" s="217" t="s">
        <v>454</v>
      </c>
      <c r="G16" s="218" t="s">
        <v>455</v>
      </c>
    </row>
    <row r="17" spans="1:7">
      <c r="A17" s="228" t="s">
        <v>90</v>
      </c>
      <c r="B17" s="215" t="s">
        <v>456</v>
      </c>
      <c r="C17" s="215">
        <v>3.46</v>
      </c>
      <c r="D17" s="215" t="s">
        <v>458</v>
      </c>
      <c r="E17" s="215">
        <v>3.8</v>
      </c>
      <c r="F17" s="215" t="s">
        <v>489</v>
      </c>
      <c r="G17" s="229" t="s">
        <v>461</v>
      </c>
    </row>
    <row r="18" spans="1:7">
      <c r="A18" s="230" t="s">
        <v>90</v>
      </c>
      <c r="B18" s="221" t="s">
        <v>463</v>
      </c>
      <c r="C18" s="213">
        <v>3.7</v>
      </c>
      <c r="D18" s="214">
        <v>7.0000000000000007E-2</v>
      </c>
      <c r="E18" s="219">
        <v>4.5199999999999996</v>
      </c>
      <c r="F18" s="213" t="s">
        <v>490</v>
      </c>
      <c r="G18" s="231" t="s">
        <v>491</v>
      </c>
    </row>
    <row r="19" spans="1:7">
      <c r="A19" s="230" t="s">
        <v>90</v>
      </c>
      <c r="B19" s="221" t="s">
        <v>492</v>
      </c>
      <c r="C19" s="213">
        <v>3.8</v>
      </c>
      <c r="D19" s="214">
        <v>0.1</v>
      </c>
      <c r="E19" s="219">
        <v>4.38</v>
      </c>
      <c r="F19" s="213" t="s">
        <v>493</v>
      </c>
      <c r="G19" s="231" t="s">
        <v>494</v>
      </c>
    </row>
    <row r="20" spans="1:7">
      <c r="A20" s="230" t="s">
        <v>58</v>
      </c>
      <c r="B20" s="213" t="s">
        <v>471</v>
      </c>
      <c r="C20" s="213" t="s">
        <v>495</v>
      </c>
      <c r="D20" s="213" t="s">
        <v>458</v>
      </c>
      <c r="E20" s="219">
        <v>4.25</v>
      </c>
      <c r="F20" s="220" t="s">
        <v>496</v>
      </c>
      <c r="G20" s="231" t="s">
        <v>497</v>
      </c>
    </row>
    <row r="21" spans="1:7">
      <c r="A21" s="230" t="s">
        <v>58</v>
      </c>
      <c r="B21" s="221" t="s">
        <v>498</v>
      </c>
      <c r="C21" s="213" t="s">
        <v>499</v>
      </c>
      <c r="D21" s="213" t="s">
        <v>500</v>
      </c>
      <c r="E21" s="219">
        <v>4.25</v>
      </c>
      <c r="F21" s="213" t="s">
        <v>501</v>
      </c>
      <c r="G21" s="232" t="s">
        <v>502</v>
      </c>
    </row>
    <row r="22" spans="1:7" ht="15" thickBot="1">
      <c r="A22" s="233" t="s">
        <v>58</v>
      </c>
      <c r="B22" s="234" t="s">
        <v>503</v>
      </c>
      <c r="C22" s="235">
        <v>7.6</v>
      </c>
      <c r="D22" s="236">
        <v>0.15</v>
      </c>
      <c r="E22" s="237">
        <v>4.25</v>
      </c>
      <c r="F22" s="235" t="s">
        <v>504</v>
      </c>
      <c r="G22" s="238" t="s">
        <v>505</v>
      </c>
    </row>
    <row r="26" spans="1:7">
      <c r="F26" s="245" t="s">
        <v>506</v>
      </c>
    </row>
    <row r="27" spans="1:7">
      <c r="F27" s="246" t="s">
        <v>507</v>
      </c>
    </row>
    <row r="28" spans="1:7">
      <c r="F28" s="246" t="s">
        <v>508</v>
      </c>
    </row>
    <row r="29" spans="1:7">
      <c r="F29" s="247" t="s">
        <v>509</v>
      </c>
    </row>
    <row r="30" spans="1:7">
      <c r="F30" s="245" t="s">
        <v>510</v>
      </c>
    </row>
    <row r="31" spans="1:7">
      <c r="F31" s="246" t="s">
        <v>511</v>
      </c>
    </row>
    <row r="32" spans="1:7">
      <c r="F32" s="247" t="s">
        <v>509</v>
      </c>
    </row>
    <row r="33" spans="6:17">
      <c r="F33" s="245" t="s">
        <v>512</v>
      </c>
    </row>
    <row r="36" spans="6:17">
      <c r="N36" s="120" t="s">
        <v>513</v>
      </c>
    </row>
    <row r="41" spans="6:17">
      <c r="M41" s="239"/>
      <c r="N41" s="239"/>
      <c r="O41" s="239"/>
      <c r="P41" s="239"/>
      <c r="Q41" s="239"/>
    </row>
    <row r="47" spans="6:17">
      <c r="N47" s="268"/>
      <c r="O47" s="268"/>
      <c r="P47" s="268"/>
      <c r="Q47" s="268"/>
    </row>
    <row r="51" spans="14:14">
      <c r="N51" s="239"/>
    </row>
  </sheetData>
  <mergeCells count="1">
    <mergeCell ref="N47:Q47"/>
  </mergeCells>
  <hyperlinks>
    <hyperlink ref="N36" r:id="rId1" xr:uid="{27068DFB-32F9-4E68-9F1B-8797F80BD4AC}"/>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CA854-1CCF-46E4-9DD3-9EFAFA03A8EB}">
  <dimension ref="B3:G19"/>
  <sheetViews>
    <sheetView workbookViewId="0">
      <selection activeCell="F8" sqref="F8"/>
    </sheetView>
  </sheetViews>
  <sheetFormatPr defaultRowHeight="14.45"/>
  <cols>
    <col min="5" max="5" width="20.5703125" customWidth="1"/>
    <col min="6" max="6" width="18.7109375" customWidth="1"/>
    <col min="7" max="7" width="18.85546875" customWidth="1"/>
  </cols>
  <sheetData>
    <row r="3" spans="2:7">
      <c r="B3" s="120" t="s">
        <v>514</v>
      </c>
    </row>
    <row r="5" spans="2:7">
      <c r="B5" t="s">
        <v>515</v>
      </c>
      <c r="C5" t="s">
        <v>516</v>
      </c>
      <c r="D5" t="s">
        <v>517</v>
      </c>
      <c r="E5" t="s">
        <v>518</v>
      </c>
      <c r="F5" t="s">
        <v>519</v>
      </c>
      <c r="G5" t="s">
        <v>520</v>
      </c>
    </row>
    <row r="6" spans="2:7">
      <c r="B6" t="s">
        <v>427</v>
      </c>
      <c r="C6" s="121" t="s">
        <v>521</v>
      </c>
      <c r="D6" t="s">
        <v>522</v>
      </c>
      <c r="E6" t="s">
        <v>523</v>
      </c>
      <c r="F6" t="s">
        <v>524</v>
      </c>
      <c r="G6" t="s">
        <v>525</v>
      </c>
    </row>
    <row r="7" spans="2:7">
      <c r="B7" t="s">
        <v>422</v>
      </c>
      <c r="C7" s="122" t="s">
        <v>522</v>
      </c>
      <c r="D7" t="s">
        <v>526</v>
      </c>
    </row>
    <row r="8" spans="2:7">
      <c r="B8" t="s">
        <v>398</v>
      </c>
      <c r="C8" s="121" t="s">
        <v>526</v>
      </c>
      <c r="D8" t="s">
        <v>527</v>
      </c>
      <c r="E8" t="s">
        <v>528</v>
      </c>
      <c r="F8" t="s">
        <v>529</v>
      </c>
      <c r="G8" t="s">
        <v>530</v>
      </c>
    </row>
    <row r="9" spans="2:7">
      <c r="B9" t="s">
        <v>363</v>
      </c>
      <c r="C9" s="122" t="s">
        <v>531</v>
      </c>
      <c r="D9" s="121" t="s">
        <v>532</v>
      </c>
      <c r="E9" s="244" t="s">
        <v>533</v>
      </c>
      <c r="F9" t="s">
        <v>534</v>
      </c>
      <c r="G9" t="s">
        <v>535</v>
      </c>
    </row>
    <row r="10" spans="2:7">
      <c r="B10" t="s">
        <v>334</v>
      </c>
      <c r="C10" s="123" t="s">
        <v>536</v>
      </c>
      <c r="D10" s="122" t="s">
        <v>536</v>
      </c>
      <c r="E10" t="s">
        <v>537</v>
      </c>
      <c r="F10" t="s">
        <v>538</v>
      </c>
      <c r="G10" t="s">
        <v>539</v>
      </c>
    </row>
    <row r="11" spans="2:7">
      <c r="B11" t="s">
        <v>77</v>
      </c>
      <c r="C11" s="122" t="s">
        <v>540</v>
      </c>
      <c r="D11" s="122" t="s">
        <v>536</v>
      </c>
    </row>
    <row r="12" spans="2:7">
      <c r="B12" t="s">
        <v>541</v>
      </c>
      <c r="C12" s="122" t="s">
        <v>542</v>
      </c>
      <c r="D12" s="122" t="s">
        <v>536</v>
      </c>
    </row>
    <row r="13" spans="2:7">
      <c r="B13" t="s">
        <v>543</v>
      </c>
      <c r="C13" s="123" t="s">
        <v>542</v>
      </c>
      <c r="D13" s="122" t="s">
        <v>536</v>
      </c>
    </row>
    <row r="15" spans="2:7">
      <c r="B15" t="s">
        <v>544</v>
      </c>
    </row>
    <row r="16" spans="2:7">
      <c r="B16" t="s">
        <v>545</v>
      </c>
      <c r="C16" s="122" t="s">
        <v>546</v>
      </c>
    </row>
    <row r="17" spans="2:3">
      <c r="B17" t="s">
        <v>547</v>
      </c>
      <c r="C17" s="122" t="s">
        <v>546</v>
      </c>
    </row>
    <row r="18" spans="2:3">
      <c r="B18" t="s">
        <v>548</v>
      </c>
      <c r="C18" s="123" t="s">
        <v>541</v>
      </c>
    </row>
    <row r="19" spans="2:3">
      <c r="B19" t="s">
        <v>549</v>
      </c>
      <c r="C19" s="121" t="s">
        <v>550</v>
      </c>
    </row>
  </sheetData>
  <hyperlinks>
    <hyperlink ref="B3" r:id="rId1" display="https://osram.sharepoint.com/:x:/r/sites/app01-10003211/QMLib/_layouts/15/Doc.aspx?sourcedoc=%7B08F84BDB-956F-4FA1-9393-AF23153C4E04%7D&amp;file=Design_Rules_FE_-_DFM_BE.xls&amp;action=default&amp;mobileredirect=true&amp;DefaultItemOpen=1" xr:uid="{1E359C03-3670-4758-B520-074B6E06BCD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1A89F-74EE-4725-B83A-3A97D7DBA320}">
  <dimension ref="A1:H17"/>
  <sheetViews>
    <sheetView tabSelected="1" workbookViewId="0">
      <selection activeCell="L8" sqref="L8"/>
    </sheetView>
  </sheetViews>
  <sheetFormatPr defaultRowHeight="15"/>
  <cols>
    <col min="1" max="1" width="7.140625" style="274" bestFit="1" customWidth="1"/>
    <col min="2" max="2" width="24.85546875" style="274" bestFit="1" customWidth="1"/>
    <col min="3" max="3" width="26.7109375" style="274" bestFit="1" customWidth="1"/>
    <col min="4" max="4" width="25.42578125" style="274" bestFit="1" customWidth="1"/>
    <col min="5" max="16384" width="9.140625" style="270"/>
  </cols>
  <sheetData>
    <row r="1" spans="1:8">
      <c r="A1" s="269" t="s">
        <v>551</v>
      </c>
      <c r="B1" s="269" t="s">
        <v>509</v>
      </c>
      <c r="C1" s="269" t="s">
        <v>509</v>
      </c>
      <c r="D1" s="269" t="s">
        <v>509</v>
      </c>
    </row>
    <row r="2" spans="1:8">
      <c r="A2" s="275" t="s">
        <v>552</v>
      </c>
      <c r="B2" s="276" t="s">
        <v>553</v>
      </c>
      <c r="C2" s="276" t="s">
        <v>554</v>
      </c>
      <c r="D2" s="276" t="s">
        <v>555</v>
      </c>
    </row>
    <row r="3" spans="1:8">
      <c r="A3" s="278">
        <v>1</v>
      </c>
      <c r="B3" s="271" t="s">
        <v>149</v>
      </c>
      <c r="C3" s="271" t="s">
        <v>149</v>
      </c>
      <c r="D3" s="271" t="s">
        <v>149</v>
      </c>
      <c r="G3" s="272" t="s">
        <v>556</v>
      </c>
      <c r="H3" s="273"/>
    </row>
    <row r="4" spans="1:8">
      <c r="A4" s="278">
        <v>2</v>
      </c>
      <c r="B4" s="271" t="s">
        <v>557</v>
      </c>
      <c r="C4" s="271" t="s">
        <v>558</v>
      </c>
      <c r="D4" s="271" t="s">
        <v>557</v>
      </c>
      <c r="G4" s="272" t="s">
        <v>559</v>
      </c>
      <c r="H4" s="273"/>
    </row>
    <row r="5" spans="1:8">
      <c r="A5" s="278">
        <v>3</v>
      </c>
      <c r="B5" s="271" t="s">
        <v>560</v>
      </c>
      <c r="C5" s="271" t="s">
        <v>156</v>
      </c>
      <c r="D5" s="271" t="s">
        <v>558</v>
      </c>
    </row>
    <row r="6" spans="1:8">
      <c r="A6" s="278">
        <v>4</v>
      </c>
      <c r="B6" s="271" t="s">
        <v>245</v>
      </c>
      <c r="C6" s="271" t="s">
        <v>561</v>
      </c>
      <c r="D6" s="271" t="s">
        <v>245</v>
      </c>
    </row>
    <row r="7" spans="1:8">
      <c r="A7" s="278">
        <v>5</v>
      </c>
      <c r="B7" s="271" t="s">
        <v>162</v>
      </c>
      <c r="C7" s="271" t="s">
        <v>245</v>
      </c>
      <c r="D7" s="271" t="s">
        <v>162</v>
      </c>
    </row>
    <row r="8" spans="1:8">
      <c r="A8" s="278">
        <v>6</v>
      </c>
      <c r="B8" s="271" t="s">
        <v>562</v>
      </c>
      <c r="C8" s="271" t="s">
        <v>162</v>
      </c>
      <c r="D8" s="271" t="s">
        <v>563</v>
      </c>
    </row>
    <row r="9" spans="1:8">
      <c r="A9" s="278">
        <v>7</v>
      </c>
      <c r="B9" s="271" t="s">
        <v>564</v>
      </c>
      <c r="C9" s="271" t="s">
        <v>563</v>
      </c>
      <c r="D9" s="271" t="s">
        <v>565</v>
      </c>
    </row>
    <row r="10" spans="1:8">
      <c r="A10" s="278">
        <v>8</v>
      </c>
      <c r="B10" s="271" t="s">
        <v>566</v>
      </c>
      <c r="C10" s="271" t="s">
        <v>211</v>
      </c>
      <c r="D10" s="271" t="s">
        <v>211</v>
      </c>
    </row>
    <row r="11" spans="1:8">
      <c r="A11" s="278">
        <v>9</v>
      </c>
      <c r="B11" s="271" t="s">
        <v>558</v>
      </c>
      <c r="C11" s="271" t="s">
        <v>562</v>
      </c>
      <c r="D11" s="271" t="s">
        <v>567</v>
      </c>
    </row>
    <row r="12" spans="1:8">
      <c r="A12" s="278">
        <v>10</v>
      </c>
      <c r="B12" s="271" t="s">
        <v>568</v>
      </c>
      <c r="C12" s="271" t="s">
        <v>569</v>
      </c>
      <c r="D12" s="271" t="s">
        <v>566</v>
      </c>
    </row>
    <row r="13" spans="1:8">
      <c r="A13" s="278">
        <v>11</v>
      </c>
      <c r="B13" s="271" t="s">
        <v>167</v>
      </c>
      <c r="C13" s="271" t="s">
        <v>570</v>
      </c>
      <c r="D13" s="277" t="s">
        <v>509</v>
      </c>
    </row>
    <row r="14" spans="1:8">
      <c r="A14" s="278">
        <v>12</v>
      </c>
      <c r="B14" s="271" t="s">
        <v>571</v>
      </c>
      <c r="C14" s="271" t="s">
        <v>566</v>
      </c>
      <c r="D14" s="277" t="s">
        <v>509</v>
      </c>
    </row>
    <row r="15" spans="1:8">
      <c r="A15" s="278">
        <v>13</v>
      </c>
      <c r="B15" s="271" t="s">
        <v>572</v>
      </c>
      <c r="C15" s="277" t="s">
        <v>509</v>
      </c>
      <c r="D15" s="277" t="s">
        <v>509</v>
      </c>
    </row>
    <row r="16" spans="1:8">
      <c r="A16" s="278">
        <v>14</v>
      </c>
      <c r="B16" s="271" t="s">
        <v>563</v>
      </c>
      <c r="C16" s="277" t="s">
        <v>509</v>
      </c>
      <c r="D16" s="277" t="s">
        <v>509</v>
      </c>
    </row>
    <row r="17" spans="1:4">
      <c r="A17" s="278">
        <v>15</v>
      </c>
      <c r="B17" s="271" t="s">
        <v>573</v>
      </c>
      <c r="C17" s="277" t="s">
        <v>509</v>
      </c>
      <c r="D17" s="277" t="s">
        <v>509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23B2AD029B474E9296F822D4F45B08" ma:contentTypeVersion="7" ma:contentTypeDescription="Create a new document." ma:contentTypeScope="" ma:versionID="ec9f58a83d4917972be40bc8f14a9756">
  <xsd:schema xmlns:xsd="http://www.w3.org/2001/XMLSchema" xmlns:xs="http://www.w3.org/2001/XMLSchema" xmlns:p="http://schemas.microsoft.com/office/2006/metadata/properties" xmlns:ns2="f605c2e9-2bab-4e9c-9849-4883051056b5" xmlns:ns3="17833d70-9b7d-4037-bc9e-2d351ea4a20c" targetNamespace="http://schemas.microsoft.com/office/2006/metadata/properties" ma:root="true" ma:fieldsID="7b04da6e2da84a2f2b695b46fd21dac8" ns2:_="" ns3:_="">
    <xsd:import namespace="f605c2e9-2bab-4e9c-9849-4883051056b5"/>
    <xsd:import namespace="17833d70-9b7d-4037-bc9e-2d351ea4a20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05c2e9-2bab-4e9c-9849-4883051056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BillingMetadata" ma:index="1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7833d70-9b7d-4037-bc9e-2d351ea4a20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17833d70-9b7d-4037-bc9e-2d351ea4a20c">
      <UserInfo>
        <DisplayName>Fen Ni Hoh</DisplayName>
        <AccountId>53</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09E407-2844-4A4F-BDD3-0B72489ED55F}"/>
</file>

<file path=customXml/itemProps2.xml><?xml version="1.0" encoding="utf-8"?>
<ds:datastoreItem xmlns:ds="http://schemas.openxmlformats.org/officeDocument/2006/customXml" ds:itemID="{AD9A4849-130D-4BC7-833E-F4EA46AB92E8}"/>
</file>

<file path=customXml/itemProps3.xml><?xml version="1.0" encoding="utf-8"?>
<ds:datastoreItem xmlns:ds="http://schemas.openxmlformats.org/officeDocument/2006/customXml" ds:itemID="{99E9F5E9-4066-4458-9B74-B820294D2038}"/>
</file>

<file path=docMetadata/LabelInfo.xml><?xml version="1.0" encoding="utf-8"?>
<clbl:labelList xmlns:clbl="http://schemas.microsoft.com/office/2020/mipLabelMetadata">
  <clbl:label id="{f9dda1df-3fca-45c7-91be-5629a3733338}" enabled="1" method="Standard" siteId="{ec1ca250-c234-4d56-a76b-7dfb9eee0c4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Wei Chin Khaw</dc:creator>
  <cp:keywords/>
  <dc:description/>
  <cp:lastModifiedBy>Poh Pin Teh</cp:lastModifiedBy>
  <cp:revision/>
  <dcterms:created xsi:type="dcterms:W3CDTF">2023-06-22T07:03:49Z</dcterms:created>
  <dcterms:modified xsi:type="dcterms:W3CDTF">2026-09-25T00:21:09Z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0x0101009023B2AD029B474E9296F822D4F45B08</vt:lpwstr>
  </property>
</Properties>
</file>